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 Code\Tool-For-Work\Tools\CombineExcel\"/>
    </mc:Choice>
  </mc:AlternateContent>
  <xr:revisionPtr revIDLastSave="0" documentId="8_{679F71F4-9257-4F62-A6DA-D6C05043B832}" xr6:coauthVersionLast="47" xr6:coauthVersionMax="47" xr10:uidLastSave="{00000000-0000-0000-0000-000000000000}"/>
  <bookViews>
    <workbookView xWindow="-120" yWindow="-120" windowWidth="29040" windowHeight="15990" activeTab="2" xr2:uid="{13BA4D70-4AC7-4007-BE31-A3230D565BE4}"/>
  </bookViews>
  <sheets>
    <sheet name="TONG HOP" sheetId="3" r:id="rId1"/>
    <sheet name="51L-268.40" sheetId="1" r:id="rId2"/>
    <sheet name="51K-365.77" sheetId="2" r:id="rId3"/>
  </sheets>
  <definedNames>
    <definedName name="_xlnm._FilterDatabase" localSheetId="2" hidden="1">'51K-365.77'!$A$8:$M$46</definedName>
    <definedName name="_xlnm._FilterDatabase" localSheetId="1" hidden="1">'51L-268.40'!$A$8:$M$66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2" l="1"/>
  <c r="K40" i="2"/>
  <c r="K32" i="2"/>
  <c r="B32" i="2"/>
  <c r="K31" i="2"/>
  <c r="B31" i="2"/>
  <c r="H30" i="2"/>
  <c r="Q30" i="2"/>
  <c r="R30" i="2"/>
  <c r="S30" i="2"/>
  <c r="T30" i="2"/>
  <c r="Q31" i="2"/>
  <c r="R31" i="2"/>
  <c r="T31" i="2"/>
  <c r="H31" i="2" s="1"/>
  <c r="S31" i="2" s="1"/>
  <c r="Q32" i="2"/>
  <c r="R32" i="2"/>
  <c r="K30" i="2"/>
  <c r="B30" i="2"/>
  <c r="T32" i="2" l="1"/>
  <c r="H32" i="2" s="1"/>
  <c r="S32" i="2" s="1"/>
  <c r="M39" i="2" l="1"/>
  <c r="L35" i="2"/>
  <c r="M42" i="2" s="1"/>
  <c r="M35" i="2"/>
  <c r="M38" i="2"/>
  <c r="M37" i="2"/>
  <c r="K10" i="2" l="1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9" i="2"/>
  <c r="L55" i="1"/>
  <c r="M62" i="1" s="1"/>
  <c r="M58" i="1"/>
  <c r="M59" i="1"/>
  <c r="M57" i="1"/>
  <c r="K35" i="2" l="1"/>
  <c r="M40" i="2" s="1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V45" i="2"/>
  <c r="S35" i="2"/>
  <c r="R9" i="2"/>
  <c r="Q9" i="2"/>
  <c r="Q54" i="1"/>
  <c r="R54" i="1"/>
  <c r="S54" i="1" s="1"/>
  <c r="V65" i="1"/>
  <c r="S55" i="1"/>
  <c r="K55" i="1" l="1"/>
  <c r="K60" i="1" s="1"/>
  <c r="M60" i="1" s="1"/>
  <c r="T21" i="2"/>
  <c r="H21" i="2" s="1"/>
  <c r="T27" i="2"/>
  <c r="H27" i="2" s="1"/>
  <c r="S27" i="2" s="1"/>
  <c r="T26" i="2"/>
  <c r="H26" i="2" s="1"/>
  <c r="S26" i="2" s="1"/>
  <c r="T24" i="2"/>
  <c r="H24" i="2" s="1"/>
  <c r="S24" i="2" s="1"/>
  <c r="T23" i="2"/>
  <c r="H23" i="2" s="1"/>
  <c r="S23" i="2" s="1"/>
  <c r="S21" i="2"/>
  <c r="T20" i="2"/>
  <c r="H20" i="2" s="1"/>
  <c r="S20" i="2" s="1"/>
  <c r="T18" i="2"/>
  <c r="H18" i="2" s="1"/>
  <c r="S18" i="2" s="1"/>
  <c r="T17" i="2"/>
  <c r="H17" i="2" s="1"/>
  <c r="S17" i="2" s="1"/>
  <c r="T15" i="2"/>
  <c r="H15" i="2" s="1"/>
  <c r="S15" i="2" s="1"/>
  <c r="T12" i="2"/>
  <c r="H12" i="2" s="1"/>
  <c r="S12" i="2" s="1"/>
  <c r="T9" i="2"/>
  <c r="H9" i="2" s="1"/>
  <c r="T28" i="2"/>
  <c r="H28" i="2" s="1"/>
  <c r="S28" i="2" s="1"/>
  <c r="T25" i="2"/>
  <c r="H25" i="2" s="1"/>
  <c r="S25" i="2" s="1"/>
  <c r="T22" i="2"/>
  <c r="H22" i="2" s="1"/>
  <c r="S22" i="2" s="1"/>
  <c r="T19" i="2"/>
  <c r="H19" i="2" s="1"/>
  <c r="S19" i="2" s="1"/>
  <c r="T16" i="2"/>
  <c r="H16" i="2" s="1"/>
  <c r="S16" i="2" s="1"/>
  <c r="T13" i="2"/>
  <c r="H13" i="2" s="1"/>
  <c r="S13" i="2" s="1"/>
  <c r="T10" i="2"/>
  <c r="H10" i="2" s="1"/>
  <c r="S10" i="2" s="1"/>
  <c r="T29" i="2"/>
  <c r="H29" i="2" s="1"/>
  <c r="S29" i="2" s="1"/>
  <c r="T14" i="2"/>
  <c r="H14" i="2" s="1"/>
  <c r="S14" i="2" s="1"/>
  <c r="T11" i="2"/>
  <c r="H11" i="2" s="1"/>
  <c r="S11" i="2" s="1"/>
  <c r="T54" i="1"/>
  <c r="H55" i="1" l="1"/>
  <c r="H35" i="2"/>
  <c r="K41" i="2" s="1"/>
  <c r="M41" i="2" s="1"/>
  <c r="M43" i="2" s="1"/>
  <c r="S9" i="2"/>
  <c r="K61" i="1" l="1"/>
  <c r="M61" i="1" s="1"/>
  <c r="M63" i="1" s="1"/>
  <c r="M64" i="1" s="1"/>
  <c r="M65" i="1" s="1"/>
  <c r="C11" i="3" s="1"/>
  <c r="M44" i="2"/>
  <c r="M45" i="2" s="1"/>
  <c r="C12" i="3" s="1"/>
  <c r="C13" i="3" l="1"/>
</calcChain>
</file>

<file path=xl/sharedStrings.xml><?xml version="1.0" encoding="utf-8"?>
<sst xmlns="http://schemas.openxmlformats.org/spreadsheetml/2006/main" count="356" uniqueCount="126">
  <si>
    <t>CÔNG TY TNHH DỊCH VỤ DU LỊCH XUÂN THẢO</t>
  </si>
  <si>
    <t>Time</t>
  </si>
  <si>
    <t xml:space="preserve">MST: 0315250973   Email: dulichxuanthao2018@gmail.com   </t>
  </si>
  <si>
    <t>KM</t>
  </si>
  <si>
    <t>ĐỊA CHỈ: Số 7 Đường số 3, Phường Tân Phú, Quận 7, Tp.HCM</t>
  </si>
  <si>
    <t>OVERTIME</t>
  </si>
  <si>
    <t xml:space="preserve">ĐT: 0907.173.113 - 081.1717.3113    </t>
  </si>
  <si>
    <t>XE 7C</t>
  </si>
  <si>
    <t>Biển số xe :</t>
  </si>
  <si>
    <t>STT</t>
  </si>
  <si>
    <t>THỨ</t>
  </si>
  <si>
    <t>NGAY</t>
  </si>
  <si>
    <t>TÀI XẾ</t>
  </si>
  <si>
    <t>ĐỊA ĐIỂM</t>
  </si>
  <si>
    <t>THỜI GIAN BẮT ĐẦU</t>
  </si>
  <si>
    <t>THỜI GIAN KẾT THÚC</t>
  </si>
  <si>
    <t>OVER TIME</t>
  </si>
  <si>
    <t>KM BẮT ĐẦU</t>
  </si>
  <si>
    <t>KM KẾT THÚC</t>
  </si>
  <si>
    <t>KM SỬ DỤNG</t>
  </si>
  <si>
    <t>Vé VETC</t>
  </si>
  <si>
    <t>Số Lượng</t>
  </si>
  <si>
    <t>OT</t>
  </si>
  <si>
    <t>Nguyễn Tấn Minh Kha</t>
  </si>
  <si>
    <t>Tổng cộng</t>
  </si>
  <si>
    <t>NỘI DUNG</t>
  </si>
  <si>
    <t>SỐ LƯỢNG</t>
  </si>
  <si>
    <t>ĐƠN GIÁ</t>
  </si>
  <si>
    <t>THÀNH TIỀN</t>
  </si>
  <si>
    <r>
      <t xml:space="preserve">Cước tháng/ </t>
    </r>
    <r>
      <rPr>
        <b/>
        <i/>
        <sz val="12"/>
        <color rgb="FF171616"/>
        <rFont val="Times New Roman"/>
        <family val="1"/>
      </rPr>
      <t xml:space="preserve">Monthly fee   (2.600km/26ngày) </t>
    </r>
  </si>
  <si>
    <t xml:space="preserve">Tăng cường chủ nhật: </t>
  </si>
  <si>
    <r>
      <t>Km vượt/</t>
    </r>
    <r>
      <rPr>
        <b/>
        <i/>
        <sz val="12"/>
        <color theme="1"/>
        <rFont val="Times New Roman"/>
        <family val="1"/>
      </rPr>
      <t>Extra K/M</t>
    </r>
    <r>
      <rPr>
        <b/>
        <sz val="12"/>
        <color theme="1"/>
        <rFont val="Times New Roman"/>
        <family val="1"/>
      </rPr>
      <t xml:space="preserve"> </t>
    </r>
  </si>
  <si>
    <r>
      <t>Giờ vượt/</t>
    </r>
    <r>
      <rPr>
        <b/>
        <i/>
        <sz val="12"/>
        <color theme="1"/>
        <rFont val="Times New Roman"/>
        <family val="1"/>
      </rPr>
      <t>Overtime</t>
    </r>
    <r>
      <rPr>
        <b/>
        <sz val="12"/>
        <color theme="1"/>
        <rFont val="Times New Roman"/>
        <family val="1"/>
      </rPr>
      <t xml:space="preserve"> =  số giờ*60.000</t>
    </r>
  </si>
  <si>
    <t>Vé giao thông</t>
  </si>
  <si>
    <t xml:space="preserve">THÀNH TIỀN </t>
  </si>
  <si>
    <t>THUẾ VAT 8%</t>
  </si>
  <si>
    <t>TỔNG CỘNG</t>
  </si>
  <si>
    <t>Bằng Chữ:</t>
  </si>
  <si>
    <t>Trần Phạm Danh Tánh</t>
  </si>
  <si>
    <t>Lưu đêm</t>
  </si>
  <si>
    <t>51L-268.40</t>
  </si>
  <si>
    <t>BX-VP-TÂN PHÚ-VP-BX</t>
  </si>
  <si>
    <t>BX-VP-PAT-VP-BX</t>
  </si>
  <si>
    <t>ĐƠN VỊ: CÔNG TY TNHH GOSHU KOHSAN ( VIỆT NAM )</t>
  </si>
  <si>
    <t>51K-365.77</t>
  </si>
  <si>
    <t>7h00-18h30</t>
  </si>
  <si>
    <t>2.600/23ngày</t>
  </si>
  <si>
    <t>CÔNG TY TNHH GOSHU KOHSAN ( VIỆT NAM )</t>
  </si>
  <si>
    <t>ĐƠN VỊ: CÔNG TY TNHH  GOSHU KOHSAN ( VIỆT NAM )</t>
  </si>
  <si>
    <t>Số tiền</t>
  </si>
  <si>
    <t>Xe 51L-268.40</t>
  </si>
  <si>
    <t>XE 51K-365.77</t>
  </si>
  <si>
    <t>TỔNG HỢP CHI PHÍ THUÊ XE THÁNG 10( từ ngày 26/09/2025 đến 25/10/2025)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</si>
  <si>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</si>
  <si>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</si>
  <si>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</si>
  <si>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</si>
  <si>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</si>
  <si>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</si>
  <si>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</si>
  <si>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</si>
  <si>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</si>
  <si>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</si>
  <si>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</si>
  <si>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</si>
  <si>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</si>
  <si>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</si>
  <si>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</si>
  <si>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BX-GK-SPMAI-SAIGON STEC-ĐÔNG Á-GK</t>
  </si>
  <si>
    <t>BX-MĐ-GK-GÒ DẦU-GK-BX</t>
  </si>
  <si>
    <t>BX-GK-AICA-GK-BX</t>
  </si>
  <si>
    <t>BX-MD0-GK-KIOWAT-THẢO ĐIỀN-GK-ĐÔNG Á</t>
  </si>
  <si>
    <t>BX-GK-HANACANS-Q12-BX</t>
  </si>
  <si>
    <t>BX-MĐ-GK-Q12-BX</t>
  </si>
  <si>
    <t>BX-Q12-COOP MART-SÓNG THẦN-HANACANS-BX</t>
  </si>
  <si>
    <t>BX-DÌN KÝ-GK-HANANCAN-BX</t>
  </si>
  <si>
    <t>BX-GK0AGIMOTO-NITORI-GK</t>
  </si>
  <si>
    <t>BX-GK-FUSIKURA-BX</t>
  </si>
  <si>
    <t>BX-GK-Q2-GK-GÒ VẤP-BX</t>
  </si>
  <si>
    <t>BX-GK-FUSYKURA-BX</t>
  </si>
  <si>
    <t>BX-GK-LONG AN-GK-GÒ VẤP-BX</t>
  </si>
  <si>
    <t>BX-GK-FUSYKURA-NOK-FUSIKURA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</si>
  <si>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</si>
  <si>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</si>
  <si>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</si>
  <si>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</si>
  <si>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</si>
  <si>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</si>
  <si>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</si>
  <si>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14/11/2025</t>
  </si>
  <si>
    <t>BX-GK-KAWAI-LONG ĐỨC-GK</t>
  </si>
  <si>
    <t>BX-GK-KAWAI-GK-BX</t>
  </si>
  <si>
    <t>BX-NGÃ TƯ BÌNH PHƯỚC-AKVINA-BX</t>
  </si>
  <si>
    <t>BX-GK-SÂN BAY-GK</t>
  </si>
  <si>
    <t>BX-GK-TÂY NINH-GK-BX</t>
  </si>
  <si>
    <t>BX-GK-GÒ DẦU-NITORI-GK-SÂN BAY</t>
  </si>
  <si>
    <t>BX-GK-TOKURAMA-GK</t>
  </si>
  <si>
    <t>BX-MĐ-GK-PHÚ NHUẬN-BX</t>
  </si>
  <si>
    <t>BX-VP-TÂY NINH-VP-BX</t>
  </si>
  <si>
    <t>BX-VP-TD91-BX</t>
  </si>
  <si>
    <t>BX-VBT-VP-BÌNH TÂN-VP-BX</t>
  </si>
  <si>
    <t>BX-TĐ-HANACANS-BX</t>
  </si>
  <si>
    <t>08/11/2025</t>
  </si>
  <si>
    <t>BX-Q12-HANACANS-VP-DÌN KÝ-BX</t>
  </si>
  <si>
    <t>BX-DÌN KÝ-VP-MỸ PHƯỚC-VP-DÌN KÝ-BX</t>
  </si>
  <si>
    <t>BX-VP-HANACANS-VP-BX</t>
  </si>
  <si>
    <t>BX-BẠC LIÊU (LƯU ĐÊM)</t>
  </si>
  <si>
    <t>BẠC LIÊU-BX</t>
  </si>
  <si>
    <t>BX-VP-FUSIKURA-BIÊN HÒA-BX</t>
  </si>
  <si>
    <t>BX-VP-MỸ PHƯỚC-VP-PAT-VP-BX</t>
  </si>
  <si>
    <t>BX-VP-AKARAWA-VP-BX</t>
  </si>
  <si>
    <t>BX-AN PHÚ-FURSIKIRA-BIÊN HÒA-BX</t>
  </si>
  <si>
    <t>BX-VP-MỸ PHƯỚC-VP-BÌNH LONG-VPBX</t>
  </si>
  <si>
    <t>BX-VP-HAVA-VP-BX</t>
  </si>
  <si>
    <t>BX-VP-ARAKAWA-GV-BX</t>
  </si>
  <si>
    <t>BX-VP-ARAKAWA-VP-BX</t>
  </si>
  <si>
    <t>25/10/2025</t>
  </si>
  <si>
    <t>BX-VP-MỸ PHƯỚC-VP-BX</t>
  </si>
  <si>
    <t>BX-VP-ANSELL-VP-CT-VP-CT-SÂN BAY-BX</t>
  </si>
  <si>
    <t>TỔNG HỢP CHI PHÍ THUÊ XE THÁNG 10 ( từ ngày 26/10/2025 đến 25/11/2025)</t>
  </si>
  <si>
    <t>Thứ Ba</t>
  </si>
  <si>
    <t>Thứ Tư</t>
  </si>
  <si>
    <t>Thứ Năm</t>
  </si>
  <si>
    <t>Thứ Sáu</t>
  </si>
  <si>
    <t>Thứ Bảy</t>
  </si>
  <si>
    <t>Thứ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</si>
</sst>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4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rgb="FF171616"/>
      <name val="Times New Roman"/>
      <family val="1"/>
    </font>
    <font>
      <sz val="12"/>
      <color theme="1"/>
      <name val="Times New Roman"/>
      <family val="1"/>
    </font>
    <font>
      <b/>
      <sz val="12"/>
      <color rgb="FF171616"/>
      <name val="Times New Roman"/>
      <family val="1"/>
    </font>
    <font>
      <sz val="12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0" tint="-0.249977111117893"/>
      <name val="Arial"/>
      <family val="2"/>
      <scheme val="minor"/>
    </font>
    <font>
      <sz val="12"/>
      <color theme="0" tint="-0.249977111117893"/>
      <name val="Times New Roman"/>
      <family val="1"/>
    </font>
    <font>
      <sz val="12"/>
      <color theme="0" tint="-0.499984740745262"/>
      <name val="Arial"/>
      <family val="2"/>
      <scheme val="minor"/>
    </font>
    <font>
      <sz val="12"/>
      <name val="Times New Roman"/>
      <family val="1"/>
    </font>
    <font>
      <b/>
      <i/>
      <sz val="12"/>
      <color rgb="FF171616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rgb="FFFF0000"/>
      <name val="Times New Roman"/>
      <family val="1"/>
      <charset val="163"/>
    </font>
    <font>
      <b/>
      <sz val="12"/>
      <color rgb="FFFF0000"/>
      <name val="Arial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rgb="FF171616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color rgb="FF171616"/>
      <name val="Times New Roman"/>
      <family val="1"/>
    </font>
    <font>
      <sz val="8"/>
      <color theme="1"/>
      <name val="Times New Roman"/>
      <family val="1"/>
    </font>
    <font>
      <b/>
      <sz val="8"/>
      <color rgb="FF171616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Arial"/>
      <family val="2"/>
      <scheme val="minor"/>
    </font>
    <font>
      <b/>
      <sz val="8"/>
      <color theme="0" tint="-0.249977111117893"/>
      <name val="Arial"/>
      <family val="2"/>
      <scheme val="minor"/>
    </font>
    <font>
      <sz val="8"/>
      <color theme="0" tint="-0.249977111117893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0000"/>
      <name val="Times New Roman"/>
      <family val="1"/>
      <charset val="163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rgb="FF171616"/>
      <name val="Times New Roman"/>
      <family val="1"/>
    </font>
    <font>
      <b/>
      <sz val="10"/>
      <color theme="0" tint="-0.249977111117893"/>
      <name val="Arial"/>
      <family val="2"/>
      <scheme val="minor"/>
    </font>
    <font>
      <sz val="10"/>
      <color theme="0" tint="-0.249977111117893"/>
      <name val="Arial"/>
      <family val="2"/>
      <scheme val="minor"/>
    </font>
    <font>
      <b/>
      <sz val="10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14"/>
      <color rgb="FF171616"/>
      <name val="Times New Roman"/>
      <family val="1"/>
    </font>
    <font>
      <sz val="14"/>
      <color theme="1"/>
      <name val="Times New Roman"/>
      <family val="1"/>
    </font>
    <font>
      <sz val="10"/>
      <name val="Times New Roman"/>
      <family val="1"/>
      <charset val="163"/>
    </font>
    <font>
      <sz val="12"/>
      <name val="Arial"/>
      <family val="2"/>
      <charset val="163"/>
      <scheme val="minor"/>
    </font>
    <font>
      <sz val="12"/>
      <name val="Times New Roman"/>
      <family val="1"/>
      <charset val="163"/>
    </font>
    <font>
      <sz val="8"/>
      <name val="Times New Roman"/>
      <family val="1"/>
    </font>
    <font>
      <b/>
      <sz val="8"/>
      <color rgb="FFFF0000"/>
      <name val="Times New Roman"/>
      <family val="1"/>
      <charset val="16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165" fontId="4" fillId="0" borderId="0" xfId="1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6" fillId="0" borderId="2" xfId="0" applyFont="1" applyBorder="1"/>
    <xf numFmtId="0" fontId="3" fillId="0" borderId="2" xfId="0" applyFont="1" applyBorder="1"/>
    <xf numFmtId="165" fontId="3" fillId="0" borderId="2" xfId="1" applyNumberFormat="1" applyFont="1" applyBorder="1"/>
    <xf numFmtId="20" fontId="8" fillId="0" borderId="0" xfId="0" applyNumberFormat="1" applyFont="1" applyAlignment="1">
      <alignment horizontal="center" vertical="center"/>
    </xf>
    <xf numFmtId="166" fontId="9" fillId="0" borderId="0" xfId="1" applyNumberFormat="1" applyFont="1" applyBorder="1" applyAlignment="1">
      <alignment horizontal="center" vertical="center"/>
    </xf>
    <xf numFmtId="166" fontId="7" fillId="0" borderId="0" xfId="1" applyNumberFormat="1" applyFont="1" applyAlignment="1">
      <alignment vertical="center"/>
    </xf>
    <xf numFmtId="165" fontId="6" fillId="4" borderId="5" xfId="1" applyNumberFormat="1" applyFont="1" applyFill="1" applyBorder="1" applyAlignment="1">
      <alignment horizontal="right" vertical="center" wrapText="1"/>
    </xf>
    <xf numFmtId="0" fontId="4" fillId="6" borderId="5" xfId="0" applyFont="1" applyFill="1" applyBorder="1" applyAlignment="1">
      <alignment horizontal="center" vertical="center" wrapText="1"/>
    </xf>
    <xf numFmtId="165" fontId="2" fillId="6" borderId="5" xfId="1" applyNumberFormat="1" applyFont="1" applyFill="1" applyBorder="1" applyAlignment="1">
      <alignment vertical="center" wrapText="1"/>
    </xf>
    <xf numFmtId="165" fontId="3" fillId="0" borderId="5" xfId="1" applyNumberFormat="1" applyFont="1" applyBorder="1" applyAlignment="1">
      <alignment vertical="center"/>
    </xf>
    <xf numFmtId="165" fontId="6" fillId="0" borderId="5" xfId="1" applyNumberFormat="1" applyFont="1" applyFill="1" applyBorder="1" applyAlignment="1">
      <alignment vertical="center"/>
    </xf>
    <xf numFmtId="165" fontId="13" fillId="6" borderId="5" xfId="1" applyNumberFormat="1" applyFont="1" applyFill="1" applyBorder="1" applyAlignment="1">
      <alignment vertical="center" wrapText="1"/>
    </xf>
    <xf numFmtId="165" fontId="13" fillId="0" borderId="5" xfId="1" applyNumberFormat="1" applyFont="1" applyBorder="1" applyAlignment="1">
      <alignment vertical="center"/>
    </xf>
    <xf numFmtId="165" fontId="3" fillId="0" borderId="5" xfId="1" applyNumberFormat="1" applyFont="1" applyBorder="1" applyAlignment="1">
      <alignment vertical="center" wrapText="1"/>
    </xf>
    <xf numFmtId="165" fontId="6" fillId="0" borderId="5" xfId="1" applyNumberFormat="1" applyFont="1" applyBorder="1" applyAlignment="1">
      <alignment vertical="center"/>
    </xf>
    <xf numFmtId="165" fontId="6" fillId="0" borderId="5" xfId="1" applyNumberFormat="1" applyFont="1" applyBorder="1" applyAlignment="1">
      <alignment vertical="center" wrapText="1"/>
    </xf>
    <xf numFmtId="165" fontId="6" fillId="8" borderId="9" xfId="1" applyNumberFormat="1" applyFont="1" applyFill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5" fillId="0" borderId="0" xfId="1" applyNumberFormat="1" applyFont="1" applyAlignment="1"/>
    <xf numFmtId="14" fontId="5" fillId="0" borderId="0" xfId="0" applyNumberFormat="1" applyFont="1"/>
    <xf numFmtId="165" fontId="5" fillId="0" borderId="0" xfId="1" applyNumberFormat="1" applyFont="1"/>
    <xf numFmtId="0" fontId="17" fillId="0" borderId="0" xfId="0" applyFont="1"/>
    <xf numFmtId="20" fontId="16" fillId="0" borderId="0" xfId="0" applyNumberFormat="1" applyFont="1" applyAlignment="1">
      <alignment horizontal="center" vertical="center"/>
    </xf>
    <xf numFmtId="166" fontId="17" fillId="0" borderId="0" xfId="1" applyNumberFormat="1" applyFont="1" applyBorder="1" applyAlignment="1">
      <alignment horizontal="center" vertical="center"/>
    </xf>
    <xf numFmtId="166" fontId="17" fillId="0" borderId="0" xfId="1" applyNumberFormat="1" applyFont="1" applyAlignment="1">
      <alignment vertical="center"/>
    </xf>
    <xf numFmtId="0" fontId="18" fillId="0" borderId="0" xfId="0" applyFont="1" applyAlignment="1">
      <alignment vertical="center"/>
    </xf>
    <xf numFmtId="14" fontId="19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centerContinuous" vertical="center"/>
    </xf>
    <xf numFmtId="0" fontId="20" fillId="9" borderId="5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166" fontId="18" fillId="0" borderId="5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166" fontId="20" fillId="0" borderId="5" xfId="1" applyNumberFormat="1" applyFont="1" applyBorder="1" applyAlignment="1">
      <alignment vertical="center"/>
    </xf>
    <xf numFmtId="165" fontId="24" fillId="2" borderId="1" xfId="1" applyNumberFormat="1" applyFont="1" applyFill="1" applyBorder="1" applyAlignment="1">
      <alignment vertical="center" wrapText="1"/>
    </xf>
    <xf numFmtId="165" fontId="24" fillId="2" borderId="1" xfId="1" applyNumberFormat="1" applyFont="1" applyFill="1" applyBorder="1" applyAlignment="1">
      <alignment horizontal="center" vertical="center"/>
    </xf>
    <xf numFmtId="165" fontId="24" fillId="2" borderId="1" xfId="1" applyNumberFormat="1" applyFont="1" applyFill="1" applyBorder="1" applyAlignment="1">
      <alignment horizontal="right" vertical="center"/>
    </xf>
    <xf numFmtId="165" fontId="25" fillId="2" borderId="1" xfId="1" applyNumberFormat="1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 wrapText="1"/>
    </xf>
    <xf numFmtId="14" fontId="25" fillId="3" borderId="3" xfId="0" applyNumberFormat="1" applyFont="1" applyFill="1" applyBorder="1" applyAlignment="1">
      <alignment horizontal="center" vertical="center" wrapText="1"/>
    </xf>
    <xf numFmtId="165" fontId="25" fillId="3" borderId="3" xfId="1" applyNumberFormat="1" applyFont="1" applyFill="1" applyBorder="1" applyAlignment="1">
      <alignment horizontal="center" vertical="center" wrapText="1"/>
    </xf>
    <xf numFmtId="165" fontId="25" fillId="3" borderId="4" xfId="1" applyNumberFormat="1" applyFont="1" applyFill="1" applyBorder="1" applyAlignment="1">
      <alignment horizontal="center" vertical="center" wrapText="1"/>
    </xf>
    <xf numFmtId="0" fontId="26" fillId="0" borderId="0" xfId="0" applyFont="1"/>
    <xf numFmtId="20" fontId="27" fillId="0" borderId="0" xfId="0" applyNumberFormat="1" applyFont="1" applyAlignment="1">
      <alignment horizontal="center" vertical="center"/>
    </xf>
    <xf numFmtId="0" fontId="28" fillId="0" borderId="0" xfId="0" applyFont="1"/>
    <xf numFmtId="0" fontId="27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49" fontId="21" fillId="0" borderId="5" xfId="0" applyNumberFormat="1" applyFont="1" applyBorder="1" applyAlignment="1">
      <alignment horizontal="center" vertical="center" wrapText="1"/>
    </xf>
    <xf numFmtId="14" fontId="21" fillId="0" borderId="5" xfId="0" applyNumberFormat="1" applyFont="1" applyBorder="1" applyAlignment="1">
      <alignment horizontal="center" vertical="center" wrapText="1"/>
    </xf>
    <xf numFmtId="20" fontId="21" fillId="0" borderId="6" xfId="0" applyNumberFormat="1" applyFont="1" applyBorder="1" applyAlignment="1">
      <alignment horizontal="right" vertical="center"/>
    </xf>
    <xf numFmtId="165" fontId="21" fillId="2" borderId="5" xfId="1" applyNumberFormat="1" applyFont="1" applyFill="1" applyBorder="1" applyAlignment="1">
      <alignment horizontal="right" vertical="center" wrapText="1"/>
    </xf>
    <xf numFmtId="165" fontId="21" fillId="0" borderId="5" xfId="1" applyNumberFormat="1" applyFont="1" applyBorder="1" applyAlignment="1">
      <alignment horizontal="right" vertical="center" wrapText="1"/>
    </xf>
    <xf numFmtId="165" fontId="21" fillId="0" borderId="5" xfId="1" applyNumberFormat="1" applyFont="1" applyFill="1" applyBorder="1" applyAlignment="1">
      <alignment horizontal="right" vertical="center" wrapText="1"/>
    </xf>
    <xf numFmtId="0" fontId="29" fillId="0" borderId="0" xfId="0" applyFont="1"/>
    <xf numFmtId="0" fontId="30" fillId="0" borderId="5" xfId="0" applyFont="1" applyBorder="1" applyAlignment="1">
      <alignment horizontal="center" vertical="center" wrapText="1"/>
    </xf>
    <xf numFmtId="49" fontId="30" fillId="0" borderId="5" xfId="0" applyNumberFormat="1" applyFont="1" applyBorder="1" applyAlignment="1">
      <alignment horizontal="center" vertical="center" wrapText="1"/>
    </xf>
    <xf numFmtId="20" fontId="30" fillId="0" borderId="6" xfId="0" applyNumberFormat="1" applyFont="1" applyBorder="1" applyAlignment="1">
      <alignment horizontal="right" vertical="center"/>
    </xf>
    <xf numFmtId="165" fontId="30" fillId="0" borderId="5" xfId="1" applyNumberFormat="1" applyFont="1" applyBorder="1" applyAlignment="1">
      <alignment horizontal="right" vertical="center" wrapText="1"/>
    </xf>
    <xf numFmtId="0" fontId="21" fillId="0" borderId="6" xfId="0" applyFont="1" applyBorder="1" applyAlignment="1">
      <alignment horizontal="center" vertical="center" wrapText="1"/>
    </xf>
    <xf numFmtId="49" fontId="21" fillId="0" borderId="6" xfId="0" applyNumberFormat="1" applyFont="1" applyBorder="1" applyAlignment="1">
      <alignment horizontal="center" vertical="center" wrapText="1"/>
    </xf>
    <xf numFmtId="14" fontId="21" fillId="0" borderId="6" xfId="0" applyNumberFormat="1" applyFont="1" applyBorder="1" applyAlignment="1">
      <alignment horizontal="center" vertical="center" wrapText="1"/>
    </xf>
    <xf numFmtId="165" fontId="21" fillId="0" borderId="6" xfId="1" applyNumberFormat="1" applyFont="1" applyFill="1" applyBorder="1" applyAlignment="1">
      <alignment horizontal="right" vertical="center" wrapText="1"/>
    </xf>
    <xf numFmtId="165" fontId="21" fillId="0" borderId="6" xfId="1" applyNumberFormat="1" applyFont="1" applyBorder="1" applyAlignment="1">
      <alignment horizontal="right" vertical="center" wrapText="1"/>
    </xf>
    <xf numFmtId="0" fontId="3" fillId="4" borderId="5" xfId="0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20" fontId="3" fillId="4" borderId="5" xfId="0" applyNumberFormat="1" applyFont="1" applyFill="1" applyBorder="1" applyAlignment="1">
      <alignment horizontal="right" vertical="center" wrapText="1"/>
    </xf>
    <xf numFmtId="0" fontId="31" fillId="5" borderId="13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165" fontId="31" fillId="5" borderId="14" xfId="1" applyNumberFormat="1" applyFont="1" applyFill="1" applyBorder="1" applyAlignment="1">
      <alignment horizontal="center" vertical="center" wrapText="1"/>
    </xf>
    <xf numFmtId="165" fontId="31" fillId="5" borderId="9" xfId="1" applyNumberFormat="1" applyFont="1" applyFill="1" applyBorder="1" applyAlignment="1">
      <alignment horizontal="center" vertical="center" wrapText="1"/>
    </xf>
    <xf numFmtId="165" fontId="31" fillId="5" borderId="9" xfId="1" applyNumberFormat="1" applyFont="1" applyFill="1" applyBorder="1" applyAlignment="1">
      <alignment vertical="center" wrapText="1"/>
    </xf>
    <xf numFmtId="165" fontId="33" fillId="2" borderId="1" xfId="1" applyNumberFormat="1" applyFont="1" applyFill="1" applyBorder="1" applyAlignment="1">
      <alignment vertical="center" wrapText="1"/>
    </xf>
    <xf numFmtId="165" fontId="33" fillId="2" borderId="1" xfId="1" applyNumberFormat="1" applyFont="1" applyFill="1" applyBorder="1" applyAlignment="1">
      <alignment horizontal="center" vertical="center"/>
    </xf>
    <xf numFmtId="165" fontId="33" fillId="2" borderId="1" xfId="1" applyNumberFormat="1" applyFont="1" applyFill="1" applyBorder="1" applyAlignment="1">
      <alignment horizontal="right" vertical="center"/>
    </xf>
    <xf numFmtId="165" fontId="31" fillId="2" borderId="1" xfId="1" applyNumberFormat="1" applyFont="1" applyFill="1" applyBorder="1" applyAlignment="1">
      <alignment vertical="center"/>
    </xf>
    <xf numFmtId="0" fontId="31" fillId="3" borderId="3" xfId="0" applyFont="1" applyFill="1" applyBorder="1" applyAlignment="1">
      <alignment horizontal="center" vertical="center" wrapText="1"/>
    </xf>
    <xf numFmtId="14" fontId="31" fillId="3" borderId="3" xfId="0" applyNumberFormat="1" applyFont="1" applyFill="1" applyBorder="1" applyAlignment="1">
      <alignment horizontal="center" vertical="center" wrapText="1"/>
    </xf>
    <xf numFmtId="165" fontId="31" fillId="3" borderId="3" xfId="1" applyNumberFormat="1" applyFont="1" applyFill="1" applyBorder="1" applyAlignment="1">
      <alignment horizontal="center" vertical="center" wrapText="1"/>
    </xf>
    <xf numFmtId="165" fontId="31" fillId="3" borderId="4" xfId="1" applyNumberFormat="1" applyFont="1" applyFill="1" applyBorder="1" applyAlignment="1">
      <alignment horizontal="center" vertical="center" wrapText="1"/>
    </xf>
    <xf numFmtId="20" fontId="34" fillId="0" borderId="0" xfId="0" applyNumberFormat="1" applyFont="1" applyAlignment="1">
      <alignment horizontal="center" vertical="center"/>
    </xf>
    <xf numFmtId="0" fontId="35" fillId="0" borderId="0" xfId="0" applyFont="1"/>
    <xf numFmtId="0" fontId="34" fillId="0" borderId="0" xfId="0" applyFont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49" fontId="36" fillId="0" borderId="5" xfId="0" applyNumberFormat="1" applyFont="1" applyBorder="1" applyAlignment="1">
      <alignment horizontal="center" vertical="center" wrapText="1"/>
    </xf>
    <xf numFmtId="20" fontId="36" fillId="0" borderId="6" xfId="0" applyNumberFormat="1" applyFont="1" applyBorder="1" applyAlignment="1">
      <alignment horizontal="right" vertical="center"/>
    </xf>
    <xf numFmtId="165" fontId="36" fillId="0" borderId="5" xfId="1" applyNumberFormat="1" applyFont="1" applyBorder="1" applyAlignment="1">
      <alignment horizontal="right" vertical="center" wrapText="1"/>
    </xf>
    <xf numFmtId="14" fontId="37" fillId="0" borderId="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Continuous" vertical="center"/>
    </xf>
    <xf numFmtId="0" fontId="39" fillId="0" borderId="0" xfId="0" applyFont="1" applyAlignment="1">
      <alignment horizontal="centerContinuous" vertical="center"/>
    </xf>
    <xf numFmtId="0" fontId="40" fillId="0" borderId="5" xfId="0" applyFont="1" applyBorder="1" applyAlignment="1">
      <alignment horizontal="center" vertical="center" wrapText="1"/>
    </xf>
    <xf numFmtId="49" fontId="40" fillId="0" borderId="5" xfId="0" applyNumberFormat="1" applyFont="1" applyBorder="1" applyAlignment="1">
      <alignment horizontal="center" vertical="center" wrapText="1"/>
    </xf>
    <xf numFmtId="14" fontId="40" fillId="0" borderId="5" xfId="0" applyNumberFormat="1" applyFont="1" applyBorder="1" applyAlignment="1">
      <alignment horizontal="center" vertical="center" wrapText="1"/>
    </xf>
    <xf numFmtId="20" fontId="40" fillId="0" borderId="6" xfId="0" applyNumberFormat="1" applyFont="1" applyBorder="1" applyAlignment="1">
      <alignment horizontal="right" vertical="center"/>
    </xf>
    <xf numFmtId="165" fontId="40" fillId="0" borderId="5" xfId="1" applyNumberFormat="1" applyFont="1" applyFill="1" applyBorder="1" applyAlignment="1">
      <alignment horizontal="right" vertical="center" wrapText="1"/>
    </xf>
    <xf numFmtId="165" fontId="40" fillId="0" borderId="5" xfId="1" applyNumberFormat="1" applyFont="1" applyBorder="1" applyAlignment="1">
      <alignment horizontal="right" vertical="center" wrapText="1"/>
    </xf>
    <xf numFmtId="0" fontId="41" fillId="0" borderId="0" xfId="0" applyFont="1"/>
    <xf numFmtId="20" fontId="42" fillId="0" borderId="0" xfId="0" applyNumberFormat="1" applyFont="1" applyAlignment="1">
      <alignment horizontal="center" vertical="center"/>
    </xf>
    <xf numFmtId="166" fontId="41" fillId="0" borderId="0" xfId="1" applyNumberFormat="1" applyFont="1" applyBorder="1" applyAlignment="1">
      <alignment horizontal="center" vertical="center"/>
    </xf>
    <xf numFmtId="166" fontId="41" fillId="0" borderId="0" xfId="1" applyNumberFormat="1" applyFont="1" applyAlignment="1">
      <alignment vertical="center"/>
    </xf>
    <xf numFmtId="14" fontId="23" fillId="0" borderId="5" xfId="0" applyNumberFormat="1" applyFont="1" applyBorder="1" applyAlignment="1">
      <alignment horizontal="center" vertical="center" wrapText="1"/>
    </xf>
    <xf numFmtId="14" fontId="23" fillId="0" borderId="6" xfId="0" applyNumberFormat="1" applyFont="1" applyBorder="1" applyAlignment="1">
      <alignment horizontal="center" vertical="center" wrapText="1"/>
    </xf>
    <xf numFmtId="14" fontId="43" fillId="0" borderId="5" xfId="0" applyNumberFormat="1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49" fontId="32" fillId="0" borderId="5" xfId="0" applyNumberFormat="1" applyFont="1" applyBorder="1" applyAlignment="1">
      <alignment horizontal="center" vertical="center" wrapText="1"/>
    </xf>
    <xf numFmtId="20" fontId="32" fillId="0" borderId="6" xfId="0" applyNumberFormat="1" applyFont="1" applyBorder="1" applyAlignment="1">
      <alignment horizontal="right" vertical="center"/>
    </xf>
    <xf numFmtId="165" fontId="32" fillId="0" borderId="5" xfId="1" applyNumberFormat="1" applyFont="1" applyBorder="1" applyAlignment="1">
      <alignment horizontal="right" vertical="center" wrapText="1"/>
    </xf>
    <xf numFmtId="14" fontId="44" fillId="0" borderId="5" xfId="0" applyNumberFormat="1" applyFont="1" applyBorder="1" applyAlignment="1">
      <alignment horizontal="center" vertical="center" wrapText="1"/>
    </xf>
    <xf numFmtId="20" fontId="23" fillId="0" borderId="6" xfId="0" applyNumberFormat="1" applyFont="1" applyBorder="1" applyAlignment="1">
      <alignment horizontal="center" vertical="center" wrapText="1"/>
    </xf>
    <xf numFmtId="14" fontId="2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5" fontId="5" fillId="0" borderId="0" xfId="1" applyNumberFormat="1" applyFont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0" fillId="0" borderId="5" xfId="0" applyFont="1" applyBorder="1"/>
    <xf numFmtId="0" fontId="6" fillId="8" borderId="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0" fillId="0" borderId="0" xfId="0" applyFont="1"/>
    <xf numFmtId="0" fontId="10" fillId="0" borderId="8" xfId="0" applyFont="1" applyBorder="1"/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165" fontId="6" fillId="0" borderId="0" xfId="1" applyNumberFormat="1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31" fillId="5" borderId="9" xfId="0" applyFont="1" applyFill="1" applyBorder="1" applyAlignment="1">
      <alignment horizontal="center" vertical="center"/>
    </xf>
    <xf numFmtId="0" fontId="32" fillId="0" borderId="0" xfId="0" applyFont="1"/>
    <xf numFmtId="0" fontId="32" fillId="0" borderId="8" xfId="0" applyFont="1" applyBorder="1"/>
    <xf numFmtId="0" fontId="4" fillId="7" borderId="5" xfId="0" applyFont="1" applyFill="1" applyBorder="1" applyAlignment="1">
      <alignment horizontal="center" vertical="center" wrapText="1"/>
    </xf>
    <xf numFmtId="0" fontId="10" fillId="2" borderId="5" xfId="0" applyFont="1" applyFill="1" applyBorder="1"/>
    <xf numFmtId="0" fontId="12" fillId="6" borderId="5" xfId="0" applyFont="1" applyFill="1" applyBorder="1" applyAlignment="1">
      <alignment horizontal="center" vertical="center" wrapText="1"/>
    </xf>
    <xf numFmtId="22" fontId="21" fillId="0" borderId="6" xfId="0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9A5A-207F-4187-BBBF-FBFB6DCA3023}">
  <dimension ref="A1:C13"/>
  <sheetViews>
    <sheetView workbookViewId="0">
      <selection activeCell="L10" sqref="L10"/>
    </sheetView>
  </sheetViews>
  <sheetFormatPr defaultColWidth="9" defaultRowHeight="15" x14ac:dyDescent="0.2"/>
  <cols>
    <col min="1" max="1" width="10.5" style="38" customWidth="1"/>
    <col min="2" max="2" width="46.125" style="38" customWidth="1"/>
    <col min="3" max="3" width="30.625" style="38" customWidth="1"/>
    <col min="4" max="16384" width="9" style="38"/>
  </cols>
  <sheetData>
    <row r="1" spans="1:3" ht="15" customHeight="1" x14ac:dyDescent="0.2">
      <c r="A1" s="123" t="s">
        <v>0</v>
      </c>
      <c r="B1" s="123"/>
      <c r="C1" s="123"/>
    </row>
    <row r="2" spans="1:3" ht="15" customHeight="1" x14ac:dyDescent="0.2">
      <c r="A2" s="123" t="s">
        <v>2</v>
      </c>
      <c r="B2" s="123"/>
      <c r="C2" s="123"/>
    </row>
    <row r="3" spans="1:3" ht="15" customHeight="1" x14ac:dyDescent="0.2">
      <c r="A3" s="123" t="s">
        <v>4</v>
      </c>
      <c r="B3" s="123"/>
      <c r="C3" s="123"/>
    </row>
    <row r="4" spans="1:3" ht="15" customHeight="1" x14ac:dyDescent="0.2">
      <c r="A4" s="123" t="s">
        <v>6</v>
      </c>
      <c r="B4" s="123"/>
      <c r="C4" s="123"/>
    </row>
    <row r="5" spans="1:3" ht="15" customHeight="1" x14ac:dyDescent="0.2">
      <c r="A5" s="39"/>
      <c r="B5" s="39"/>
      <c r="C5" s="39"/>
    </row>
    <row r="6" spans="1:3" ht="18.75" x14ac:dyDescent="0.2">
      <c r="A6" s="102" t="s">
        <v>48</v>
      </c>
      <c r="B6" s="103"/>
      <c r="C6" s="103"/>
    </row>
    <row r="7" spans="1:3" ht="15" customHeight="1" x14ac:dyDescent="0.2">
      <c r="B7" s="40"/>
      <c r="C7" s="40"/>
    </row>
    <row r="8" spans="1:3" ht="27.75" customHeight="1" x14ac:dyDescent="0.2">
      <c r="A8" s="124" t="s">
        <v>52</v>
      </c>
      <c r="B8" s="124"/>
      <c r="C8" s="124"/>
    </row>
    <row r="10" spans="1:3" s="42" customFormat="1" ht="24.75" customHeight="1" x14ac:dyDescent="0.2">
      <c r="A10" s="41" t="s">
        <v>9</v>
      </c>
      <c r="B10" s="41" t="s">
        <v>25</v>
      </c>
      <c r="C10" s="41" t="s">
        <v>49</v>
      </c>
    </row>
    <row r="11" spans="1:3" ht="24.75" customHeight="1" x14ac:dyDescent="0.2">
      <c r="A11" s="43">
        <v>1</v>
      </c>
      <c r="B11" s="44" t="s">
        <v>50</v>
      </c>
      <c r="C11" s="45">
        <f>'51L-268.40'!M65</f>
        <v>71234637</v>
      </c>
    </row>
    <row r="12" spans="1:3" ht="24.75" customHeight="1" x14ac:dyDescent="0.2">
      <c r="A12" s="43">
        <v>2</v>
      </c>
      <c r="B12" s="44" t="s">
        <v>51</v>
      </c>
      <c r="C12" s="45">
        <f>'51K-365.77'!M45</f>
        <v>45844133.999999993</v>
      </c>
    </row>
    <row r="13" spans="1:3" ht="24.75" customHeight="1" x14ac:dyDescent="0.2">
      <c r="A13" s="43"/>
      <c r="B13" s="46" t="s">
        <v>36</v>
      </c>
      <c r="C13" s="47">
        <f>SUM(C11:C12)</f>
        <v>117078771</v>
      </c>
    </row>
  </sheetData>
  <mergeCells count="5">
    <mergeCell ref="A1:C1"/>
    <mergeCell ref="A2:C2"/>
    <mergeCell ref="A3:C3"/>
    <mergeCell ref="A4:C4"/>
    <mergeCell ref="A8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A1F8-D0A3-4C55-BC77-DE3310BCFD86}">
  <sheetPr codeName="Sheet3">
    <pageSetUpPr fitToPage="1"/>
  </sheetPr>
  <dimension ref="A1:V104"/>
  <sheetViews>
    <sheetView topLeftCell="A21" workbookViewId="0">
      <selection activeCell="L27" sqref="L27"/>
    </sheetView>
  </sheetViews>
  <sheetFormatPr defaultColWidth="9.125" defaultRowHeight="15" x14ac:dyDescent="0.2"/>
  <cols>
    <col min="1" max="1" width="12.5" style="5" bestFit="1" customWidth="1"/>
    <col min="2" max="2" width="12.5" style="5" customWidth="1"/>
    <col min="3" max="3" width="12" style="5" bestFit="1" customWidth="1"/>
    <col min="4" max="4" width="19" style="5" customWidth="1"/>
    <col min="5" max="5" width="43.5" style="5" customWidth="1"/>
    <col min="6" max="6" width="9.125" style="5"/>
    <col min="7" max="7" width="20.125" style="5" bestFit="1" customWidth="1"/>
    <col min="8" max="8" width="9.125" style="33"/>
    <col min="9" max="9" width="10.625" style="33" bestFit="1" customWidth="1"/>
    <col min="10" max="10" width="10.5" style="33" bestFit="1" customWidth="1"/>
    <col min="11" max="11" width="9.125" style="33"/>
    <col min="12" max="12" width="15.5" style="33" bestFit="1" customWidth="1"/>
    <col min="13" max="13" width="12.5" style="33" customWidth="1"/>
    <col min="14" max="16" width="9.125" style="5"/>
    <col min="17" max="17" width="6.5" style="5" customWidth="1"/>
    <col min="18" max="16384" width="9.125" style="5"/>
  </cols>
  <sheetData>
    <row r="1" spans="1:20" ht="15.75" x14ac:dyDescent="0.2">
      <c r="A1" s="138" t="s">
        <v>0</v>
      </c>
      <c r="B1" s="138"/>
      <c r="C1" s="139"/>
      <c r="D1" s="139"/>
      <c r="E1" s="139"/>
      <c r="F1" s="2"/>
      <c r="G1" s="2"/>
      <c r="H1" s="3"/>
      <c r="I1" s="3"/>
      <c r="J1" s="3"/>
      <c r="K1" s="4"/>
      <c r="L1" s="48" t="s">
        <v>1</v>
      </c>
      <c r="M1" s="49" t="s">
        <v>45</v>
      </c>
    </row>
    <row r="2" spans="1:20" ht="15.75" x14ac:dyDescent="0.2">
      <c r="A2" s="138" t="s">
        <v>2</v>
      </c>
      <c r="B2" s="138"/>
      <c r="C2" s="139"/>
      <c r="D2" s="139"/>
      <c r="E2" s="139"/>
      <c r="F2" s="6"/>
      <c r="G2" s="6"/>
      <c r="H2" s="7"/>
      <c r="I2" s="7"/>
      <c r="J2" s="7"/>
      <c r="K2" s="4"/>
      <c r="L2" s="48" t="s">
        <v>3</v>
      </c>
      <c r="M2" s="50">
        <v>7000</v>
      </c>
    </row>
    <row r="3" spans="1:20" ht="15.75" x14ac:dyDescent="0.2">
      <c r="A3" s="138" t="s">
        <v>4</v>
      </c>
      <c r="B3" s="138"/>
      <c r="C3" s="139"/>
      <c r="D3" s="139"/>
      <c r="E3" s="139"/>
      <c r="F3" s="6"/>
      <c r="G3" s="6"/>
      <c r="H3" s="7"/>
      <c r="I3" s="7"/>
      <c r="J3" s="7"/>
      <c r="K3" s="4"/>
      <c r="L3" s="48" t="s">
        <v>5</v>
      </c>
      <c r="M3" s="49">
        <v>70000</v>
      </c>
    </row>
    <row r="4" spans="1:20" ht="15.75" x14ac:dyDescent="0.2">
      <c r="A4" s="138" t="s">
        <v>6</v>
      </c>
      <c r="B4" s="138"/>
      <c r="C4" s="139"/>
      <c r="D4" s="139"/>
      <c r="E4" s="139"/>
      <c r="F4" s="6"/>
      <c r="G4" s="6"/>
      <c r="H4" s="7"/>
      <c r="I4" s="7"/>
      <c r="J4" s="7"/>
      <c r="K4" s="4"/>
      <c r="L4" s="48" t="s">
        <v>7</v>
      </c>
      <c r="M4" s="51" t="s">
        <v>46</v>
      </c>
    </row>
    <row r="5" spans="1:20" ht="15.75" x14ac:dyDescent="0.25">
      <c r="A5" s="140" t="s">
        <v>43</v>
      </c>
      <c r="B5" s="140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</row>
    <row r="6" spans="1:20" ht="15.75" customHeight="1" x14ac:dyDescent="0.25">
      <c r="A6" s="142" t="s">
        <v>119</v>
      </c>
      <c r="B6" s="142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</row>
    <row r="7" spans="1:20" ht="15" customHeight="1" x14ac:dyDescent="0.25">
      <c r="A7" s="8" t="s">
        <v>8</v>
      </c>
      <c r="B7" s="9" t="s">
        <v>40</v>
      </c>
      <c r="C7" s="1"/>
      <c r="D7" s="10"/>
      <c r="E7" s="10"/>
      <c r="F7" s="10"/>
      <c r="G7" s="10"/>
      <c r="H7" s="11"/>
      <c r="I7" s="11"/>
      <c r="J7" s="11"/>
      <c r="K7" s="11"/>
      <c r="L7" s="11"/>
      <c r="M7" s="11"/>
    </row>
    <row r="8" spans="1:20" s="56" customFormat="1" ht="21" x14ac:dyDescent="0.2">
      <c r="A8" s="52" t="s">
        <v>9</v>
      </c>
      <c r="B8" s="52" t="s">
        <v>10</v>
      </c>
      <c r="C8" s="53" t="s">
        <v>11</v>
      </c>
      <c r="D8" s="52" t="s">
        <v>12</v>
      </c>
      <c r="E8" s="52" t="s">
        <v>13</v>
      </c>
      <c r="F8" s="52" t="s">
        <v>14</v>
      </c>
      <c r="G8" s="52" t="s">
        <v>15</v>
      </c>
      <c r="H8" s="54" t="s">
        <v>16</v>
      </c>
      <c r="I8" s="54" t="s">
        <v>17</v>
      </c>
      <c r="J8" s="54" t="s">
        <v>18</v>
      </c>
      <c r="K8" s="54" t="s">
        <v>19</v>
      </c>
      <c r="L8" s="55" t="s">
        <v>20</v>
      </c>
      <c r="M8" s="54" t="s">
        <v>21</v>
      </c>
      <c r="Q8" s="57">
        <v>0.29166666666666669</v>
      </c>
      <c r="R8" s="57">
        <v>0.77083333333333337</v>
      </c>
      <c r="S8" s="58"/>
      <c r="T8" s="59" t="s">
        <v>22</v>
      </c>
    </row>
    <row r="9" spans="1:20" ht="27.75" customHeight="1" x14ac:dyDescent="0.2">
      <c r="A9" s="60"/>
      <c r="B9" s="60" t="s">
        <v>120</v>
      </c>
      <c r="C9" s="61" t="s">
        <v>54</v>
      </c>
      <c r="D9" s="60" t="s">
        <v>23</v>
      </c>
      <c r="E9" s="62" t="s">
        <v>68</v>
      </c>
      <c r="F9" s="63">
        <v>0.27083333333333331</v>
      </c>
      <c r="G9" s="63">
        <v>0.77083333333333337</v>
      </c>
      <c r="H9" s="64">
        <v>30</v>
      </c>
      <c r="I9" s="65">
        <v>47174</v>
      </c>
      <c r="J9" s="65">
        <v>47280</v>
      </c>
      <c r="K9" s="65">
        <v>106</v>
      </c>
      <c r="L9" s="66"/>
      <c r="M9" s="65">
        <v>0</v>
      </c>
      <c r="Q9" s="12">
        <v>2.0833333333333332E-2</v>
      </c>
      <c r="R9" s="12">
        <v>0</v>
      </c>
      <c r="S9" s="13">
        <v>0</v>
      </c>
      <c r="T9" s="14">
        <v>30</v>
      </c>
    </row>
    <row r="10" spans="1:20" ht="27.75" customHeight="1" x14ac:dyDescent="0.2">
      <c r="A10" s="60"/>
      <c r="B10" s="60" t="s">
        <v>121</v>
      </c>
      <c r="C10" s="61" t="s">
        <v>55</v>
      </c>
      <c r="D10" s="60" t="s">
        <v>23</v>
      </c>
      <c r="E10" s="62" t="s">
        <v>69</v>
      </c>
      <c r="F10" s="63">
        <v>0.22916666666666666</v>
      </c>
      <c r="G10" s="63">
        <v>0.75</v>
      </c>
      <c r="H10" s="64">
        <v>90</v>
      </c>
      <c r="I10" s="65">
        <v>47280</v>
      </c>
      <c r="J10" s="65">
        <v>47442</v>
      </c>
      <c r="K10" s="65">
        <v>162</v>
      </c>
      <c r="L10" s="66">
        <v>90954</v>
      </c>
      <c r="M10" s="65">
        <v>0</v>
      </c>
      <c r="Q10" s="12">
        <v>6.25E-2</v>
      </c>
      <c r="R10" s="12">
        <v>0</v>
      </c>
      <c r="S10" s="13">
        <v>0</v>
      </c>
      <c r="T10" s="14">
        <v>90</v>
      </c>
    </row>
    <row r="11" spans="1:20" ht="27.75" customHeight="1" x14ac:dyDescent="0.2">
      <c r="A11" s="60"/>
      <c r="B11" s="60" t="s">
        <v>122</v>
      </c>
      <c r="C11" s="61" t="s">
        <v>56</v>
      </c>
      <c r="D11" s="60" t="s">
        <v>23</v>
      </c>
      <c r="E11" s="62" t="s">
        <v>70</v>
      </c>
      <c r="F11" s="63">
        <v>0.29166666666666669</v>
      </c>
      <c r="G11" s="63">
        <v>0.75</v>
      </c>
      <c r="H11" s="64">
        <v>0</v>
      </c>
      <c r="I11" s="65">
        <v>47442</v>
      </c>
      <c r="J11" s="65">
        <v>47555</v>
      </c>
      <c r="K11" s="65">
        <v>113</v>
      </c>
      <c r="L11" s="66">
        <v>82326</v>
      </c>
      <c r="M11" s="65">
        <v>0</v>
      </c>
      <c r="Q11" s="12">
        <v>0</v>
      </c>
      <c r="R11" s="12">
        <v>0</v>
      </c>
      <c r="S11" s="13">
        <v>0</v>
      </c>
      <c r="T11" s="14">
        <v>0</v>
      </c>
    </row>
    <row r="12" spans="1:20" ht="27.75" customHeight="1" x14ac:dyDescent="0.2">
      <c r="A12" s="60"/>
      <c r="B12" s="60" t="s">
        <v>123</v>
      </c>
      <c r="C12" s="61" t="s">
        <v>57</v>
      </c>
      <c r="D12" s="60" t="s">
        <v>23</v>
      </c>
      <c r="E12" s="62" t="s">
        <v>71</v>
      </c>
      <c r="F12" s="63">
        <v>0.22916666666666666</v>
      </c>
      <c r="G12" s="63">
        <v>0.75</v>
      </c>
      <c r="H12" s="64">
        <v>90</v>
      </c>
      <c r="I12" s="65">
        <v>47555</v>
      </c>
      <c r="J12" s="65">
        <v>47756</v>
      </c>
      <c r="K12" s="65">
        <v>201</v>
      </c>
      <c r="L12" s="66">
        <v>112272</v>
      </c>
      <c r="M12" s="65"/>
      <c r="Q12" s="12">
        <v>6.25E-2</v>
      </c>
      <c r="R12" s="12">
        <v>0</v>
      </c>
      <c r="S12" s="13">
        <v>0</v>
      </c>
      <c r="T12" s="14">
        <v>90</v>
      </c>
    </row>
    <row r="13" spans="1:20" ht="27.75" customHeight="1" x14ac:dyDescent="0.2">
      <c r="A13" s="60"/>
      <c r="B13" s="60" t="s">
        <v>124</v>
      </c>
      <c r="C13" s="61" t="s">
        <v>58</v>
      </c>
      <c r="D13" s="60" t="s">
        <v>23</v>
      </c>
      <c r="E13" s="62" t="s">
        <v>72</v>
      </c>
      <c r="F13" s="63">
        <v>0.29166666666666669</v>
      </c>
      <c r="G13" s="63">
        <v>0.83333333333333337</v>
      </c>
      <c r="H13" s="64">
        <v>90</v>
      </c>
      <c r="I13" s="65">
        <v>47756</v>
      </c>
      <c r="J13" s="65">
        <v>47911</v>
      </c>
      <c r="K13" s="65">
        <v>155</v>
      </c>
      <c r="L13" s="66">
        <v>60013</v>
      </c>
      <c r="M13" s="65">
        <v>0</v>
      </c>
      <c r="Q13" s="12">
        <v>0</v>
      </c>
      <c r="R13" s="12">
        <v>6.25E-2</v>
      </c>
      <c r="S13" s="13">
        <v>0</v>
      </c>
      <c r="T13" s="14">
        <v>90</v>
      </c>
    </row>
    <row r="14" spans="1:20" ht="27.75" customHeight="1" x14ac:dyDescent="0.2">
      <c r="A14" s="60"/>
      <c r="B14" s="60" t="s">
        <v>125</v>
      </c>
      <c r="C14" s="61" t="s">
        <v>59</v>
      </c>
      <c r="D14" s="60" t="s">
        <v>23</v>
      </c>
      <c r="E14" s="62" t="s">
        <v>73</v>
      </c>
      <c r="F14" s="63">
        <v>0.22916666666666666</v>
      </c>
      <c r="G14" s="63">
        <v>0.77083333333333337</v>
      </c>
      <c r="H14" s="64">
        <v>90</v>
      </c>
      <c r="I14" s="65">
        <v>47911</v>
      </c>
      <c r="J14" s="65">
        <v>48107</v>
      </c>
      <c r="K14" s="65">
        <v>196</v>
      </c>
      <c r="L14" s="66">
        <v>118921</v>
      </c>
      <c r="M14" s="65">
        <v>0</v>
      </c>
      <c r="Q14" s="12">
        <v>6.25E-2</v>
      </c>
      <c r="R14" s="12">
        <v>0</v>
      </c>
      <c r="S14" s="13">
        <v>0</v>
      </c>
      <c r="T14" s="14">
        <v>90</v>
      </c>
    </row>
    <row r="15" spans="1:20" ht="27.75" customHeight="1" x14ac:dyDescent="0.2">
      <c r="A15" s="60"/>
      <c r="B15" s="60" t="s">
        <v>120</v>
      </c>
      <c r="C15" s="61" t="s">
        <v>60</v>
      </c>
      <c r="D15" s="60" t="s">
        <v>23</v>
      </c>
      <c r="E15" s="62" t="s">
        <v>74</v>
      </c>
      <c r="F15" s="63">
        <v>0.22916666666666666</v>
      </c>
      <c r="G15" s="63">
        <v>0.77083333333333337</v>
      </c>
      <c r="H15" s="64">
        <v>90</v>
      </c>
      <c r="I15" s="65">
        <v>48107</v>
      </c>
      <c r="J15" s="65">
        <v>48311</v>
      </c>
      <c r="K15" s="65">
        <v>204</v>
      </c>
      <c r="L15" s="66">
        <v>60013</v>
      </c>
      <c r="M15" s="65">
        <v>0</v>
      </c>
      <c r="Q15" s="12">
        <v>6.25E-2</v>
      </c>
      <c r="R15" s="12">
        <v>0</v>
      </c>
      <c r="S15" s="13">
        <v>0</v>
      </c>
      <c r="T15" s="14">
        <v>90</v>
      </c>
    </row>
    <row r="16" spans="1:20" ht="27.75" customHeight="1" x14ac:dyDescent="0.2">
      <c r="A16" s="60"/>
      <c r="B16" s="60" t="s">
        <v>121</v>
      </c>
      <c r="C16" s="61" t="s">
        <v>61</v>
      </c>
      <c r="D16" s="60" t="s">
        <v>23</v>
      </c>
      <c r="E16" s="62" t="s">
        <v>75</v>
      </c>
      <c r="F16" s="63">
        <v>0.29166666666666669</v>
      </c>
      <c r="G16" s="63">
        <v>0.83333333333333337</v>
      </c>
      <c r="H16" s="64">
        <v>90</v>
      </c>
      <c r="I16" s="65">
        <v>48311</v>
      </c>
      <c r="J16" s="65">
        <v>48498</v>
      </c>
      <c r="K16" s="65">
        <v>187</v>
      </c>
      <c r="L16" s="66">
        <v>89467</v>
      </c>
      <c r="M16" s="65">
        <v>0</v>
      </c>
      <c r="Q16" s="12">
        <v>0</v>
      </c>
      <c r="R16" s="12">
        <v>6.25E-2</v>
      </c>
      <c r="S16" s="13">
        <v>0</v>
      </c>
      <c r="T16" s="14">
        <v>90</v>
      </c>
    </row>
    <row r="17" spans="1:20" ht="27.75" customHeight="1" x14ac:dyDescent="0.2">
      <c r="A17" s="60"/>
      <c r="B17" s="60" t="s">
        <v>122</v>
      </c>
      <c r="C17" s="61" t="s">
        <v>62</v>
      </c>
      <c r="D17" s="60" t="s">
        <v>23</v>
      </c>
      <c r="E17" s="62" t="s">
        <v>76</v>
      </c>
      <c r="F17" s="63">
        <v>0.22916666666666666</v>
      </c>
      <c r="G17" s="63">
        <v>0.77083333333333337</v>
      </c>
      <c r="H17" s="64">
        <v>90</v>
      </c>
      <c r="I17" s="65">
        <v>48498</v>
      </c>
      <c r="J17" s="65">
        <v>48673</v>
      </c>
      <c r="K17" s="65">
        <v>175</v>
      </c>
      <c r="L17" s="66"/>
      <c r="M17" s="65">
        <v>0</v>
      </c>
      <c r="Q17" s="12">
        <v>6.25E-2</v>
      </c>
      <c r="R17" s="12">
        <v>0</v>
      </c>
      <c r="S17" s="13">
        <v>0</v>
      </c>
      <c r="T17" s="14">
        <v>90</v>
      </c>
    </row>
    <row r="18" spans="1:20" ht="27.75" customHeight="1" x14ac:dyDescent="0.2">
      <c r="A18" s="60"/>
      <c r="B18" s="60" t="s">
        <v>123</v>
      </c>
      <c r="C18" s="61" t="s">
        <v>63</v>
      </c>
      <c r="D18" s="60" t="s">
        <v>23</v>
      </c>
      <c r="E18" s="62" t="s">
        <v>77</v>
      </c>
      <c r="F18" s="63">
        <v>0.22916666666666666</v>
      </c>
      <c r="G18" s="63">
        <v>0.75</v>
      </c>
      <c r="H18" s="64">
        <v>90</v>
      </c>
      <c r="I18" s="65">
        <v>48673</v>
      </c>
      <c r="J18" s="65">
        <v>48761</v>
      </c>
      <c r="K18" s="65">
        <v>88</v>
      </c>
      <c r="L18" s="66"/>
      <c r="M18" s="65">
        <v>0</v>
      </c>
      <c r="Q18" s="12">
        <v>6.25E-2</v>
      </c>
      <c r="R18" s="12">
        <v>0</v>
      </c>
      <c r="S18" s="13">
        <v>0</v>
      </c>
      <c r="T18" s="14">
        <v>90</v>
      </c>
    </row>
    <row r="19" spans="1:20" ht="27.75" customHeight="1" x14ac:dyDescent="0.2">
      <c r="A19" s="60"/>
      <c r="B19" s="60" t="s">
        <v>125</v>
      </c>
      <c r="C19" s="61" t="s">
        <v>64</v>
      </c>
      <c r="D19" s="60" t="s">
        <v>23</v>
      </c>
      <c r="E19" s="62" t="s">
        <v>78</v>
      </c>
      <c r="F19" s="63">
        <v>0.29166666666666669</v>
      </c>
      <c r="G19" s="63">
        <v>0.85416666666666663</v>
      </c>
      <c r="H19" s="64">
        <v>120</v>
      </c>
      <c r="I19" s="65">
        <v>48761</v>
      </c>
      <c r="J19" s="65">
        <v>48863</v>
      </c>
      <c r="K19" s="65">
        <v>102</v>
      </c>
      <c r="L19" s="66">
        <v>107999</v>
      </c>
      <c r="M19" s="65">
        <v>0</v>
      </c>
      <c r="Q19" s="12">
        <v>0</v>
      </c>
      <c r="R19" s="12">
        <v>8.3333333333333329E-2</v>
      </c>
      <c r="S19" s="13">
        <v>0</v>
      </c>
      <c r="T19" s="14">
        <v>120</v>
      </c>
    </row>
    <row r="20" spans="1:20" ht="27.75" customHeight="1" x14ac:dyDescent="0.2">
      <c r="A20" s="60"/>
      <c r="B20" s="60" t="s">
        <v>120</v>
      </c>
      <c r="C20" s="61" t="s">
        <v>65</v>
      </c>
      <c r="D20" s="60" t="s">
        <v>23</v>
      </c>
      <c r="E20" s="62" t="s">
        <v>79</v>
      </c>
      <c r="F20" s="63">
        <v>0.22916666666666666</v>
      </c>
      <c r="G20" s="63">
        <v>0.77083333333333337</v>
      </c>
      <c r="H20" s="64">
        <v>90</v>
      </c>
      <c r="I20" s="65">
        <v>48863</v>
      </c>
      <c r="J20" s="65">
        <v>48936</v>
      </c>
      <c r="K20" s="65">
        <v>73</v>
      </c>
      <c r="L20" s="66"/>
      <c r="M20" s="65">
        <v>0</v>
      </c>
      <c r="Q20" s="12">
        <v>6.25E-2</v>
      </c>
      <c r="R20" s="12">
        <v>0</v>
      </c>
      <c r="S20" s="13">
        <v>0</v>
      </c>
      <c r="T20" s="14">
        <v>90</v>
      </c>
    </row>
    <row r="21" spans="1:20" ht="27.75" customHeight="1" x14ac:dyDescent="0.2">
      <c r="A21" s="60"/>
      <c r="B21" s="60" t="s">
        <v>121</v>
      </c>
      <c r="C21" s="61" t="s">
        <v>66</v>
      </c>
      <c r="D21" s="60" t="s">
        <v>23</v>
      </c>
      <c r="E21" s="62" t="s">
        <v>80</v>
      </c>
      <c r="F21" s="63">
        <v>0.29166666666666669</v>
      </c>
      <c r="G21" s="63">
        <v>0.83333333333333337</v>
      </c>
      <c r="H21" s="64">
        <v>90</v>
      </c>
      <c r="I21" s="65">
        <v>48936</v>
      </c>
      <c r="J21" s="65">
        <v>49085</v>
      </c>
      <c r="K21" s="65">
        <v>149</v>
      </c>
      <c r="L21" s="66">
        <v>86908</v>
      </c>
      <c r="M21" s="65">
        <v>0</v>
      </c>
      <c r="Q21" s="12">
        <v>0</v>
      </c>
      <c r="R21" s="12">
        <v>6.25E-2</v>
      </c>
      <c r="S21" s="13">
        <v>0</v>
      </c>
      <c r="T21" s="14">
        <v>90</v>
      </c>
    </row>
    <row r="22" spans="1:20" ht="27.75" customHeight="1" x14ac:dyDescent="0.2">
      <c r="A22" s="60"/>
      <c r="B22" s="60" t="s">
        <v>122</v>
      </c>
      <c r="C22" s="61" t="s">
        <v>67</v>
      </c>
      <c r="D22" s="60" t="s">
        <v>23</v>
      </c>
      <c r="E22" s="62" t="s">
        <v>81</v>
      </c>
      <c r="F22" s="63">
        <v>0.22916666666666666</v>
      </c>
      <c r="G22" s="63">
        <v>0.75</v>
      </c>
      <c r="H22" s="64">
        <v>90</v>
      </c>
      <c r="I22" s="65">
        <v>49085</v>
      </c>
      <c r="J22" s="65">
        <v>49220</v>
      </c>
      <c r="K22" s="65">
        <v>135</v>
      </c>
      <c r="L22" s="66"/>
      <c r="M22" s="65">
        <v>0</v>
      </c>
      <c r="Q22" s="12">
        <v>6.25E-2</v>
      </c>
      <c r="R22" s="12">
        <v>0</v>
      </c>
      <c r="S22" s="13">
        <v>0</v>
      </c>
      <c r="T22" s="14">
        <v>90</v>
      </c>
    </row>
    <row r="23" spans="1:20" ht="27.75" customHeight="1" x14ac:dyDescent="0.2">
      <c r="A23" s="60"/>
      <c r="B23" s="60" t="s">
        <v>123</v>
      </c>
      <c r="C23" s="61" t="s">
        <v>89</v>
      </c>
      <c r="D23" s="60" t="s">
        <v>23</v>
      </c>
      <c r="E23" s="62" t="s">
        <v>90</v>
      </c>
      <c r="F23" s="63">
        <v>0.29166666666666669</v>
      </c>
      <c r="G23" s="63">
        <v>0.75</v>
      </c>
      <c r="H23" s="64">
        <v>0</v>
      </c>
      <c r="I23" s="65">
        <v>49220</v>
      </c>
      <c r="J23" s="65">
        <v>49385</v>
      </c>
      <c r="K23" s="65">
        <v>165</v>
      </c>
      <c r="L23" s="66"/>
      <c r="M23" s="65">
        <v>0</v>
      </c>
      <c r="Q23" s="12">
        <v>0</v>
      </c>
      <c r="R23" s="12">
        <v>0</v>
      </c>
      <c r="S23" s="13">
        <v>0</v>
      </c>
      <c r="T23" s="14">
        <v>0</v>
      </c>
    </row>
    <row r="24" spans="1:20" ht="27.75" customHeight="1" x14ac:dyDescent="0.2">
      <c r="A24" s="60"/>
      <c r="B24" s="60" t="s">
        <v>125</v>
      </c>
      <c r="C24" s="61" t="s">
        <v>82</v>
      </c>
      <c r="D24" s="60" t="s">
        <v>23</v>
      </c>
      <c r="E24" s="62" t="s">
        <v>91</v>
      </c>
      <c r="F24" s="63">
        <v>0.29166666666666669</v>
      </c>
      <c r="G24" s="63">
        <v>0.85416666666666663</v>
      </c>
      <c r="H24" s="64">
        <v>120</v>
      </c>
      <c r="I24" s="65">
        <v>49385</v>
      </c>
      <c r="J24" s="65">
        <v>49465</v>
      </c>
      <c r="K24" s="65">
        <v>80</v>
      </c>
      <c r="L24" s="66"/>
      <c r="M24" s="65">
        <v>0</v>
      </c>
      <c r="Q24" s="12">
        <v>0</v>
      </c>
      <c r="R24" s="12">
        <v>8.3333333333333329E-2</v>
      </c>
      <c r="S24" s="13">
        <v>0</v>
      </c>
      <c r="T24" s="14">
        <v>120</v>
      </c>
    </row>
    <row r="25" spans="1:20" ht="27.75" customHeight="1" x14ac:dyDescent="0.2">
      <c r="A25" s="60"/>
      <c r="B25" s="60" t="s">
        <v>120</v>
      </c>
      <c r="C25" s="61" t="s">
        <v>83</v>
      </c>
      <c r="D25" s="60" t="s">
        <v>23</v>
      </c>
      <c r="E25" s="62" t="s">
        <v>92</v>
      </c>
      <c r="F25" s="63">
        <v>0.25</v>
      </c>
      <c r="G25" s="63">
        <v>0.91666666666666663</v>
      </c>
      <c r="H25" s="64">
        <v>270</v>
      </c>
      <c r="I25" s="65">
        <v>49465</v>
      </c>
      <c r="J25" s="65">
        <v>49602</v>
      </c>
      <c r="K25" s="65">
        <v>137</v>
      </c>
      <c r="L25" s="66">
        <v>101740</v>
      </c>
      <c r="M25" s="65">
        <v>0</v>
      </c>
      <c r="Q25" s="12">
        <v>4.1666666666666664E-2</v>
      </c>
      <c r="R25" s="12">
        <v>0.14583333333333334</v>
      </c>
      <c r="S25" s="13">
        <v>0</v>
      </c>
      <c r="T25" s="14">
        <v>270</v>
      </c>
    </row>
    <row r="26" spans="1:20" ht="27.75" customHeight="1" x14ac:dyDescent="0.2">
      <c r="A26" s="60"/>
      <c r="B26" s="60" t="s">
        <v>121</v>
      </c>
      <c r="C26" s="61" t="s">
        <v>84</v>
      </c>
      <c r="D26" s="60" t="s">
        <v>23</v>
      </c>
      <c r="E26" s="62" t="s">
        <v>93</v>
      </c>
      <c r="F26" s="63">
        <v>0.29166666666666669</v>
      </c>
      <c r="G26" s="63">
        <v>0.8125</v>
      </c>
      <c r="H26" s="64">
        <v>60</v>
      </c>
      <c r="I26" s="65">
        <v>49602</v>
      </c>
      <c r="J26" s="65">
        <v>49683</v>
      </c>
      <c r="K26" s="65">
        <v>81</v>
      </c>
      <c r="L26" s="66">
        <v>58908</v>
      </c>
      <c r="M26" s="65">
        <v>0</v>
      </c>
      <c r="Q26" s="12">
        <v>0</v>
      </c>
      <c r="R26" s="12">
        <v>4.1666666666666664E-2</v>
      </c>
      <c r="S26" s="13">
        <v>0</v>
      </c>
      <c r="T26" s="14">
        <v>60</v>
      </c>
    </row>
    <row r="27" spans="1:20" ht="27.75" customHeight="1" x14ac:dyDescent="0.2">
      <c r="A27" s="60"/>
      <c r="B27" s="60" t="s">
        <v>122</v>
      </c>
      <c r="C27" s="61" t="s">
        <v>85</v>
      </c>
      <c r="D27" s="60" t="s">
        <v>23</v>
      </c>
      <c r="E27" s="62" t="s">
        <v>94</v>
      </c>
      <c r="F27" s="63">
        <v>0.27083333333333331</v>
      </c>
      <c r="G27" s="63">
        <v>0.79166666666666663</v>
      </c>
      <c r="H27" s="64">
        <v>60</v>
      </c>
      <c r="I27" s="65">
        <v>49683</v>
      </c>
      <c r="J27" s="65">
        <v>49884</v>
      </c>
      <c r="K27" s="65">
        <v>201</v>
      </c>
      <c r="L27" s="66">
        <v>19636</v>
      </c>
      <c r="M27" s="65">
        <v>0</v>
      </c>
      <c r="Q27" s="12">
        <v>2.0833333333333332E-2</v>
      </c>
      <c r="R27" s="12">
        <v>2.0833333333333332E-2</v>
      </c>
      <c r="S27" s="13">
        <v>0</v>
      </c>
      <c r="T27" s="14">
        <v>60</v>
      </c>
    </row>
    <row r="28" spans="1:20" ht="27.75" customHeight="1" x14ac:dyDescent="0.2">
      <c r="A28" s="60"/>
      <c r="B28" s="60" t="s">
        <v>123</v>
      </c>
      <c r="C28" s="61" t="s">
        <v>86</v>
      </c>
      <c r="D28" s="60" t="s">
        <v>23</v>
      </c>
      <c r="E28" s="62" t="s">
        <v>95</v>
      </c>
      <c r="F28" s="63">
        <v>0.29166666666666669</v>
      </c>
      <c r="G28" s="63">
        <v>0.8125</v>
      </c>
      <c r="H28" s="64">
        <v>60</v>
      </c>
      <c r="I28" s="65">
        <v>49884</v>
      </c>
      <c r="J28" s="65">
        <v>50119</v>
      </c>
      <c r="K28" s="65">
        <v>235</v>
      </c>
      <c r="L28" s="66">
        <v>58908</v>
      </c>
      <c r="M28" s="65">
        <v>0</v>
      </c>
      <c r="Q28" s="12">
        <v>0</v>
      </c>
      <c r="R28" s="12">
        <v>4.1666666666666664E-2</v>
      </c>
      <c r="S28" s="13">
        <v>0</v>
      </c>
      <c r="T28" s="14">
        <v>60</v>
      </c>
    </row>
    <row r="29" spans="1:20" ht="27.75" customHeight="1" x14ac:dyDescent="0.2">
      <c r="A29" s="60"/>
      <c r="B29" s="60" t="s">
        <v>125</v>
      </c>
      <c r="C29" s="61" t="s">
        <v>87</v>
      </c>
      <c r="D29" s="60" t="s">
        <v>23</v>
      </c>
      <c r="E29" s="62" t="s">
        <v>96</v>
      </c>
      <c r="F29" s="63">
        <v>0.29166666666666669</v>
      </c>
      <c r="G29" s="63">
        <v>0.8125</v>
      </c>
      <c r="H29" s="64">
        <v>60</v>
      </c>
      <c r="I29" s="65">
        <v>50119</v>
      </c>
      <c r="J29" s="65">
        <v>50296</v>
      </c>
      <c r="K29" s="65">
        <v>177</v>
      </c>
      <c r="L29" s="66">
        <v>45286</v>
      </c>
      <c r="M29" s="65"/>
      <c r="Q29" s="12">
        <v>0</v>
      </c>
      <c r="R29" s="12">
        <v>4.1666666666666664E-2</v>
      </c>
      <c r="S29" s="13">
        <v>0</v>
      </c>
      <c r="T29" s="14">
        <v>60</v>
      </c>
    </row>
    <row r="30" spans="1:20" ht="27.75" customHeight="1" x14ac:dyDescent="0.2">
      <c r="A30" s="60"/>
      <c r="B30" s="60" t="s">
        <v>120</v>
      </c>
      <c r="C30" s="61" t="s">
        <v>88</v>
      </c>
      <c r="D30" s="60" t="s">
        <v>23</v>
      </c>
      <c r="E30" s="62" t="s">
        <v>97</v>
      </c>
      <c r="F30" s="63">
        <v>0.22916666666666666</v>
      </c>
      <c r="G30" s="63">
        <v>0.75</v>
      </c>
      <c r="H30" s="64">
        <v>90</v>
      </c>
      <c r="I30" s="65">
        <v>50296</v>
      </c>
      <c r="J30" s="65">
        <v>50380</v>
      </c>
      <c r="K30" s="65">
        <v>84</v>
      </c>
      <c r="L30" s="66">
        <v>58908</v>
      </c>
      <c r="M30" s="65"/>
      <c r="Q30" s="12">
        <v>6.25E-2</v>
      </c>
      <c r="R30" s="12">
        <v>0</v>
      </c>
      <c r="S30" s="13">
        <v>0</v>
      </c>
      <c r="T30" s="14">
        <v>90</v>
      </c>
    </row>
    <row r="31" spans="1:20" ht="27.75" customHeight="1" x14ac:dyDescent="0.2">
      <c r="A31" s="60"/>
      <c r="B31" s="60" t="s">
        <v>120</v>
      </c>
      <c r="C31" s="61" t="s">
        <v>54</v>
      </c>
      <c r="D31" s="60" t="s">
        <v>38</v>
      </c>
      <c r="E31" s="62" t="s">
        <v>42</v>
      </c>
      <c r="F31" s="63">
        <v>0.27083333333333331</v>
      </c>
      <c r="G31" s="152">
        <v>1</v>
      </c>
      <c r="H31" s="64">
        <v>360</v>
      </c>
      <c r="I31" s="65">
        <v>150560</v>
      </c>
      <c r="J31" s="65">
        <v>150757</v>
      </c>
      <c r="K31" s="65">
        <v>197</v>
      </c>
      <c r="L31" s="66">
        <v>71727</v>
      </c>
      <c r="M31" s="65">
        <v>0</v>
      </c>
      <c r="Q31" s="12">
        <v>2.0833333333333332E-2</v>
      </c>
      <c r="R31" s="12">
        <v>0.22916666666666666</v>
      </c>
      <c r="S31" s="13">
        <v>0</v>
      </c>
      <c r="T31" s="14">
        <v>360</v>
      </c>
    </row>
    <row r="32" spans="1:20" ht="27.75" customHeight="1" x14ac:dyDescent="0.2">
      <c r="A32" s="60"/>
      <c r="B32" s="60" t="s">
        <v>121</v>
      </c>
      <c r="C32" s="61" t="s">
        <v>55</v>
      </c>
      <c r="D32" s="60" t="s">
        <v>38</v>
      </c>
      <c r="E32" s="62" t="s">
        <v>99</v>
      </c>
      <c r="F32" s="63">
        <v>0.27083333333333331</v>
      </c>
      <c r="G32" s="63">
        <v>0.8125</v>
      </c>
      <c r="H32" s="66">
        <v>90</v>
      </c>
      <c r="I32" s="65">
        <v>150757</v>
      </c>
      <c r="J32" s="65">
        <v>150815</v>
      </c>
      <c r="K32" s="65">
        <v>58</v>
      </c>
      <c r="L32" s="66">
        <v>44181</v>
      </c>
      <c r="M32" s="65">
        <v>0</v>
      </c>
      <c r="Q32" s="12">
        <v>2.0833333333333332E-2</v>
      </c>
      <c r="R32" s="12">
        <v>4.1666666666666664E-2</v>
      </c>
      <c r="S32" s="13">
        <v>0</v>
      </c>
      <c r="T32" s="14">
        <v>90</v>
      </c>
    </row>
    <row r="33" spans="1:20" ht="27.75" customHeight="1" x14ac:dyDescent="0.2">
      <c r="A33" s="60"/>
      <c r="B33" s="60" t="s">
        <v>122</v>
      </c>
      <c r="C33" s="61" t="s">
        <v>56</v>
      </c>
      <c r="D33" s="60" t="s">
        <v>38</v>
      </c>
      <c r="E33" s="62" t="s">
        <v>100</v>
      </c>
      <c r="F33" s="63">
        <v>0.25</v>
      </c>
      <c r="G33" s="63">
        <v>0.77083333333333337</v>
      </c>
      <c r="H33" s="66">
        <v>60</v>
      </c>
      <c r="I33" s="65">
        <v>150815</v>
      </c>
      <c r="J33" s="65">
        <v>150941</v>
      </c>
      <c r="K33" s="65">
        <v>126</v>
      </c>
      <c r="L33" s="66">
        <v>72908</v>
      </c>
      <c r="M33" s="65">
        <v>0</v>
      </c>
      <c r="Q33" s="12">
        <v>4.1666666666666664E-2</v>
      </c>
      <c r="R33" s="12">
        <v>0</v>
      </c>
      <c r="S33" s="13">
        <v>0</v>
      </c>
      <c r="T33" s="14">
        <v>60</v>
      </c>
    </row>
    <row r="34" spans="1:20" ht="27.75" customHeight="1" x14ac:dyDescent="0.2">
      <c r="A34" s="60"/>
      <c r="B34" s="60" t="s">
        <v>123</v>
      </c>
      <c r="C34" s="61" t="s">
        <v>57</v>
      </c>
      <c r="D34" s="60" t="s">
        <v>38</v>
      </c>
      <c r="E34" s="62" t="s">
        <v>101</v>
      </c>
      <c r="F34" s="63">
        <v>0.25</v>
      </c>
      <c r="G34" s="63">
        <v>0.77083333333333337</v>
      </c>
      <c r="H34" s="66">
        <v>60</v>
      </c>
      <c r="I34" s="65">
        <v>150941</v>
      </c>
      <c r="J34" s="65">
        <v>151098</v>
      </c>
      <c r="K34" s="65">
        <v>157</v>
      </c>
      <c r="L34" s="66">
        <v>69831</v>
      </c>
      <c r="M34" s="65">
        <v>0</v>
      </c>
      <c r="Q34" s="12">
        <v>4.1666666666666664E-2</v>
      </c>
      <c r="R34" s="12">
        <v>0</v>
      </c>
      <c r="S34" s="13">
        <v>0</v>
      </c>
      <c r="T34" s="14">
        <v>60</v>
      </c>
    </row>
    <row r="35" spans="1:20" ht="27.75" customHeight="1" x14ac:dyDescent="0.2">
      <c r="A35" s="60"/>
      <c r="B35" s="60" t="s">
        <v>124</v>
      </c>
      <c r="C35" s="61" t="s">
        <v>58</v>
      </c>
      <c r="D35" s="60" t="s">
        <v>38</v>
      </c>
      <c r="E35" s="62" t="s">
        <v>41</v>
      </c>
      <c r="F35" s="63">
        <v>0.29166666666666669</v>
      </c>
      <c r="G35" s="63">
        <v>0.75</v>
      </c>
      <c r="H35" s="66">
        <v>0</v>
      </c>
      <c r="I35" s="65">
        <v>151098</v>
      </c>
      <c r="J35" s="65">
        <v>151168</v>
      </c>
      <c r="K35" s="65">
        <v>70</v>
      </c>
      <c r="L35" s="66">
        <v>29454</v>
      </c>
      <c r="M35" s="65">
        <v>0</v>
      </c>
      <c r="Q35" s="12">
        <v>0</v>
      </c>
      <c r="R35" s="12">
        <v>0</v>
      </c>
      <c r="S35" s="13">
        <v>0</v>
      </c>
      <c r="T35" s="14">
        <v>0</v>
      </c>
    </row>
    <row r="36" spans="1:20" ht="27.75" customHeight="1" x14ac:dyDescent="0.2">
      <c r="A36" s="60"/>
      <c r="B36" s="60" t="s">
        <v>125</v>
      </c>
      <c r="C36" s="61" t="s">
        <v>59</v>
      </c>
      <c r="D36" s="60" t="s">
        <v>38</v>
      </c>
      <c r="E36" s="62" t="s">
        <v>103</v>
      </c>
      <c r="F36" s="63">
        <v>0.23958333333333334</v>
      </c>
      <c r="G36" s="63">
        <v>0.83333333333333337</v>
      </c>
      <c r="H36" s="66">
        <v>165</v>
      </c>
      <c r="I36" s="65">
        <v>151168</v>
      </c>
      <c r="J36" s="65">
        <v>151350</v>
      </c>
      <c r="K36" s="65">
        <v>182</v>
      </c>
      <c r="L36" s="66">
        <v>66824</v>
      </c>
      <c r="M36" s="65">
        <v>0</v>
      </c>
      <c r="Q36" s="12">
        <v>5.2083333333333336E-2</v>
      </c>
      <c r="R36" s="12">
        <v>6.25E-2</v>
      </c>
      <c r="S36" s="13">
        <v>0</v>
      </c>
      <c r="T36" s="14">
        <v>165</v>
      </c>
    </row>
    <row r="37" spans="1:20" ht="27.75" customHeight="1" x14ac:dyDescent="0.2">
      <c r="A37" s="60"/>
      <c r="B37" s="60" t="s">
        <v>120</v>
      </c>
      <c r="C37" s="61" t="s">
        <v>60</v>
      </c>
      <c r="D37" s="60" t="s">
        <v>38</v>
      </c>
      <c r="E37" s="62" t="s">
        <v>104</v>
      </c>
      <c r="F37" s="63">
        <v>0.29166666666666669</v>
      </c>
      <c r="G37" s="63">
        <v>0.85416666666666663</v>
      </c>
      <c r="H37" s="66">
        <v>120</v>
      </c>
      <c r="I37" s="65">
        <v>151350</v>
      </c>
      <c r="J37" s="65">
        <v>151458</v>
      </c>
      <c r="K37" s="65">
        <v>108</v>
      </c>
      <c r="L37" s="66">
        <v>88362</v>
      </c>
      <c r="M37" s="65">
        <v>0</v>
      </c>
      <c r="Q37" s="12">
        <v>0</v>
      </c>
      <c r="R37" s="12">
        <v>8.3333333333333329E-2</v>
      </c>
      <c r="S37" s="13">
        <v>0</v>
      </c>
      <c r="T37" s="14">
        <v>120</v>
      </c>
    </row>
    <row r="38" spans="1:20" ht="27.75" customHeight="1" x14ac:dyDescent="0.2">
      <c r="A38" s="60"/>
      <c r="B38" s="60" t="s">
        <v>121</v>
      </c>
      <c r="C38" s="61" t="s">
        <v>61</v>
      </c>
      <c r="D38" s="60" t="s">
        <v>38</v>
      </c>
      <c r="E38" s="62" t="s">
        <v>105</v>
      </c>
      <c r="F38" s="63">
        <v>0.25</v>
      </c>
      <c r="G38" s="63">
        <v>0.875</v>
      </c>
      <c r="H38" s="66">
        <v>210</v>
      </c>
      <c r="I38" s="65">
        <v>151458</v>
      </c>
      <c r="J38" s="65">
        <v>151622</v>
      </c>
      <c r="K38" s="65">
        <v>164</v>
      </c>
      <c r="L38" s="66"/>
      <c r="M38" s="65">
        <v>0</v>
      </c>
      <c r="Q38" s="12">
        <v>4.1666666666666664E-2</v>
      </c>
      <c r="R38" s="12">
        <v>0.10416666666666667</v>
      </c>
      <c r="S38" s="13">
        <v>0</v>
      </c>
      <c r="T38" s="14">
        <v>210</v>
      </c>
    </row>
    <row r="39" spans="1:20" ht="27.75" customHeight="1" x14ac:dyDescent="0.2">
      <c r="A39" s="60"/>
      <c r="B39" s="60" t="s">
        <v>122</v>
      </c>
      <c r="C39" s="61" t="s">
        <v>62</v>
      </c>
      <c r="D39" s="60" t="s">
        <v>38</v>
      </c>
      <c r="E39" s="62" t="s">
        <v>105</v>
      </c>
      <c r="F39" s="63">
        <v>0.27083333333333331</v>
      </c>
      <c r="G39" s="63">
        <v>0.89583333333333337</v>
      </c>
      <c r="H39" s="66">
        <v>210</v>
      </c>
      <c r="I39" s="65">
        <v>151622</v>
      </c>
      <c r="J39" s="65">
        <v>151792</v>
      </c>
      <c r="K39" s="65">
        <v>170</v>
      </c>
      <c r="L39" s="66">
        <v>22643</v>
      </c>
      <c r="M39" s="65">
        <v>0</v>
      </c>
      <c r="Q39" s="12">
        <v>2.0833333333333332E-2</v>
      </c>
      <c r="R39" s="12">
        <v>0.125</v>
      </c>
      <c r="S39" s="13">
        <v>0</v>
      </c>
      <c r="T39" s="14">
        <v>210</v>
      </c>
    </row>
    <row r="40" spans="1:20" ht="27.75" customHeight="1" x14ac:dyDescent="0.2">
      <c r="A40" s="60"/>
      <c r="B40" s="60" t="s">
        <v>123</v>
      </c>
      <c r="C40" s="61" t="s">
        <v>63</v>
      </c>
      <c r="D40" s="60" t="s">
        <v>38</v>
      </c>
      <c r="E40" s="62" t="s">
        <v>106</v>
      </c>
      <c r="F40" s="63">
        <v>0.1875</v>
      </c>
      <c r="G40" s="63">
        <v>0.91666666666666663</v>
      </c>
      <c r="H40" s="66">
        <v>360</v>
      </c>
      <c r="I40" s="65">
        <v>151792</v>
      </c>
      <c r="J40" s="65">
        <v>152127</v>
      </c>
      <c r="K40" s="65">
        <v>335</v>
      </c>
      <c r="L40" s="67">
        <v>173259</v>
      </c>
      <c r="M40" s="65">
        <v>0</v>
      </c>
      <c r="Q40" s="12">
        <v>0.10416666666666667</v>
      </c>
      <c r="R40" s="12">
        <v>0.14583333333333334</v>
      </c>
      <c r="S40" s="13">
        <v>0</v>
      </c>
      <c r="T40" s="14">
        <v>360</v>
      </c>
    </row>
    <row r="41" spans="1:20" ht="27.75" customHeight="1" x14ac:dyDescent="0.2">
      <c r="A41" s="60"/>
      <c r="B41" s="60" t="s">
        <v>124</v>
      </c>
      <c r="C41" s="61" t="s">
        <v>102</v>
      </c>
      <c r="D41" s="60" t="s">
        <v>38</v>
      </c>
      <c r="E41" s="62" t="s">
        <v>107</v>
      </c>
      <c r="F41" s="63">
        <v>0.25</v>
      </c>
      <c r="G41" s="63">
        <v>0.72916666666666663</v>
      </c>
      <c r="H41" s="66">
        <v>60</v>
      </c>
      <c r="I41" s="65">
        <v>152127</v>
      </c>
      <c r="J41" s="65">
        <v>152442</v>
      </c>
      <c r="K41" s="65">
        <v>315</v>
      </c>
      <c r="L41" s="66">
        <v>216119</v>
      </c>
      <c r="M41" s="65">
        <v>0</v>
      </c>
      <c r="Q41" s="12">
        <v>4.1666666666666664E-2</v>
      </c>
      <c r="R41" s="12">
        <v>0</v>
      </c>
      <c r="S41" s="13">
        <v>0</v>
      </c>
      <c r="T41" s="14">
        <v>60</v>
      </c>
    </row>
    <row r="42" spans="1:20" ht="27.75" customHeight="1" x14ac:dyDescent="0.2">
      <c r="A42" s="60"/>
      <c r="B42" s="60" t="s">
        <v>125</v>
      </c>
      <c r="C42" s="61" t="s">
        <v>64</v>
      </c>
      <c r="D42" s="60" t="s">
        <v>38</v>
      </c>
      <c r="E42" s="62" t="s">
        <v>108</v>
      </c>
      <c r="F42" s="63">
        <v>0.24305555555555555</v>
      </c>
      <c r="G42" s="63">
        <v>0.8125</v>
      </c>
      <c r="H42" s="66">
        <v>130</v>
      </c>
      <c r="I42" s="65">
        <v>152442</v>
      </c>
      <c r="J42" s="65">
        <v>152515</v>
      </c>
      <c r="K42" s="65">
        <v>73</v>
      </c>
      <c r="L42" s="66">
        <v>0</v>
      </c>
      <c r="M42" s="65">
        <v>0</v>
      </c>
      <c r="Q42" s="12">
        <v>4.8611111111111112E-2</v>
      </c>
      <c r="R42" s="12">
        <v>4.1666666666666664E-2</v>
      </c>
      <c r="S42" s="13">
        <v>0</v>
      </c>
      <c r="T42" s="14">
        <v>130</v>
      </c>
    </row>
    <row r="43" spans="1:20" ht="27.75" customHeight="1" x14ac:dyDescent="0.2">
      <c r="A43" s="60"/>
      <c r="B43" s="60" t="s">
        <v>120</v>
      </c>
      <c r="C43" s="61" t="s">
        <v>65</v>
      </c>
      <c r="D43" s="60" t="s">
        <v>38</v>
      </c>
      <c r="E43" s="62" t="s">
        <v>109</v>
      </c>
      <c r="F43" s="63">
        <v>0.3125</v>
      </c>
      <c r="G43" s="63">
        <v>0.8125</v>
      </c>
      <c r="H43" s="66">
        <v>60</v>
      </c>
      <c r="I43" s="65">
        <v>152515</v>
      </c>
      <c r="J43" s="65">
        <v>152737</v>
      </c>
      <c r="K43" s="65">
        <v>222</v>
      </c>
      <c r="L43" s="66">
        <v>115908</v>
      </c>
      <c r="M43" s="65">
        <v>0</v>
      </c>
      <c r="Q43" s="12">
        <v>0</v>
      </c>
      <c r="R43" s="12">
        <v>4.1666666666666664E-2</v>
      </c>
      <c r="S43" s="13">
        <v>0</v>
      </c>
      <c r="T43" s="14">
        <v>60</v>
      </c>
    </row>
    <row r="44" spans="1:20" ht="27.75" customHeight="1" x14ac:dyDescent="0.2">
      <c r="A44" s="60"/>
      <c r="B44" s="60" t="s">
        <v>121</v>
      </c>
      <c r="C44" s="61" t="s">
        <v>66</v>
      </c>
      <c r="D44" s="60" t="s">
        <v>38</v>
      </c>
      <c r="E44" s="62" t="s">
        <v>105</v>
      </c>
      <c r="F44" s="63">
        <v>0.20833333333333334</v>
      </c>
      <c r="G44" s="63">
        <v>0.875</v>
      </c>
      <c r="H44" s="66">
        <v>270</v>
      </c>
      <c r="I44" s="65">
        <v>152737</v>
      </c>
      <c r="J44" s="65">
        <v>152894</v>
      </c>
      <c r="K44" s="65">
        <v>157</v>
      </c>
      <c r="L44" s="66"/>
      <c r="M44" s="65">
        <v>0</v>
      </c>
      <c r="Q44" s="12">
        <v>8.3333333333333329E-2</v>
      </c>
      <c r="R44" s="12">
        <v>0.10416666666666667</v>
      </c>
      <c r="S44" s="13">
        <v>0</v>
      </c>
      <c r="T44" s="14">
        <v>270</v>
      </c>
    </row>
    <row r="45" spans="1:20" s="110" customFormat="1" ht="27.75" customHeight="1" x14ac:dyDescent="0.2">
      <c r="A45" s="104"/>
      <c r="B45" s="104" t="s">
        <v>122</v>
      </c>
      <c r="C45" s="105" t="s">
        <v>67</v>
      </c>
      <c r="D45" s="104" t="s">
        <v>38</v>
      </c>
      <c r="E45" s="106" t="s">
        <v>110</v>
      </c>
      <c r="F45" s="107">
        <v>0.3125</v>
      </c>
      <c r="G45" s="107">
        <v>0.8125</v>
      </c>
      <c r="H45" s="108">
        <v>60</v>
      </c>
      <c r="I45" s="109">
        <v>152894</v>
      </c>
      <c r="J45" s="109">
        <v>153105</v>
      </c>
      <c r="K45" s="109">
        <v>211</v>
      </c>
      <c r="L45" s="108">
        <v>22643</v>
      </c>
      <c r="M45" s="109">
        <v>0</v>
      </c>
      <c r="Q45" s="111">
        <v>0</v>
      </c>
      <c r="R45" s="111">
        <v>4.1666666666666664E-2</v>
      </c>
      <c r="S45" s="112">
        <v>0</v>
      </c>
      <c r="T45" s="113">
        <v>60</v>
      </c>
    </row>
    <row r="46" spans="1:20" s="110" customFormat="1" ht="27.75" customHeight="1" x14ac:dyDescent="0.2">
      <c r="A46" s="104"/>
      <c r="B46" s="104" t="s">
        <v>123</v>
      </c>
      <c r="C46" s="105" t="s">
        <v>89</v>
      </c>
      <c r="D46" s="104" t="s">
        <v>38</v>
      </c>
      <c r="E46" s="106" t="s">
        <v>111</v>
      </c>
      <c r="F46" s="107">
        <v>0.22916666666666666</v>
      </c>
      <c r="G46" s="107">
        <v>0.8125</v>
      </c>
      <c r="H46" s="108">
        <v>150</v>
      </c>
      <c r="I46" s="109">
        <v>153105</v>
      </c>
      <c r="J46" s="109">
        <v>153190</v>
      </c>
      <c r="K46" s="109">
        <v>85</v>
      </c>
      <c r="L46" s="108"/>
      <c r="M46" s="109">
        <v>0</v>
      </c>
      <c r="Q46" s="111">
        <v>6.25E-2</v>
      </c>
      <c r="R46" s="111">
        <v>4.1666666666666664E-2</v>
      </c>
      <c r="S46" s="112">
        <v>0</v>
      </c>
      <c r="T46" s="113">
        <v>150</v>
      </c>
    </row>
    <row r="47" spans="1:20" ht="27.75" customHeight="1" x14ac:dyDescent="0.2">
      <c r="A47" s="60"/>
      <c r="B47" s="60" t="s">
        <v>125</v>
      </c>
      <c r="C47" s="61" t="s">
        <v>82</v>
      </c>
      <c r="D47" s="60" t="s">
        <v>38</v>
      </c>
      <c r="E47" s="62" t="s">
        <v>112</v>
      </c>
      <c r="F47" s="63">
        <v>0.3125</v>
      </c>
      <c r="G47" s="63">
        <v>0.75</v>
      </c>
      <c r="H47" s="66">
        <v>0</v>
      </c>
      <c r="I47" s="65">
        <v>153190</v>
      </c>
      <c r="J47" s="65">
        <v>153326</v>
      </c>
      <c r="K47" s="65">
        <v>136</v>
      </c>
      <c r="L47" s="66">
        <v>14727</v>
      </c>
      <c r="M47" s="65">
        <v>0</v>
      </c>
      <c r="Q47" s="12">
        <v>0</v>
      </c>
      <c r="R47" s="12">
        <v>0</v>
      </c>
      <c r="S47" s="13">
        <v>0</v>
      </c>
      <c r="T47" s="14">
        <v>0</v>
      </c>
    </row>
    <row r="48" spans="1:20" ht="27.75" customHeight="1" x14ac:dyDescent="0.2">
      <c r="A48" s="60"/>
      <c r="B48" s="60" t="s">
        <v>120</v>
      </c>
      <c r="C48" s="61" t="s">
        <v>83</v>
      </c>
      <c r="D48" s="60" t="s">
        <v>38</v>
      </c>
      <c r="E48" s="62" t="s">
        <v>41</v>
      </c>
      <c r="F48" s="63">
        <v>0.27083333333333331</v>
      </c>
      <c r="G48" s="63">
        <v>0.77083333333333337</v>
      </c>
      <c r="H48" s="66">
        <v>30</v>
      </c>
      <c r="I48" s="65">
        <v>153326</v>
      </c>
      <c r="J48" s="65">
        <v>153426</v>
      </c>
      <c r="K48" s="65">
        <v>100</v>
      </c>
      <c r="L48" s="66">
        <v>44181</v>
      </c>
      <c r="M48" s="65">
        <v>0</v>
      </c>
      <c r="Q48" s="12">
        <v>2.0833333333333332E-2</v>
      </c>
      <c r="R48" s="12">
        <v>0</v>
      </c>
      <c r="S48" s="13">
        <v>0</v>
      </c>
      <c r="T48" s="14">
        <v>30</v>
      </c>
    </row>
    <row r="49" spans="1:20" ht="27.75" customHeight="1" x14ac:dyDescent="0.2">
      <c r="A49" s="60"/>
      <c r="B49" s="60" t="s">
        <v>121</v>
      </c>
      <c r="C49" s="61" t="s">
        <v>84</v>
      </c>
      <c r="D49" s="60" t="s">
        <v>38</v>
      </c>
      <c r="E49" s="62" t="s">
        <v>113</v>
      </c>
      <c r="F49" s="63">
        <v>0.22916666666666666</v>
      </c>
      <c r="G49" s="63">
        <v>0.875</v>
      </c>
      <c r="H49" s="66">
        <v>240</v>
      </c>
      <c r="I49" s="65">
        <v>153426</v>
      </c>
      <c r="J49" s="65">
        <v>153617</v>
      </c>
      <c r="K49" s="65">
        <v>191</v>
      </c>
      <c r="L49" s="66">
        <v>22643</v>
      </c>
      <c r="M49" s="65">
        <v>0</v>
      </c>
      <c r="Q49" s="12">
        <v>6.25E-2</v>
      </c>
      <c r="R49" s="12">
        <v>0.10416666666666667</v>
      </c>
      <c r="S49" s="13">
        <v>0</v>
      </c>
      <c r="T49" s="14">
        <v>240</v>
      </c>
    </row>
    <row r="50" spans="1:20" ht="27.75" customHeight="1" x14ac:dyDescent="0.2">
      <c r="A50" s="60"/>
      <c r="B50" s="60" t="s">
        <v>122</v>
      </c>
      <c r="C50" s="61" t="s">
        <v>85</v>
      </c>
      <c r="D50" s="60" t="s">
        <v>38</v>
      </c>
      <c r="E50" s="62" t="s">
        <v>114</v>
      </c>
      <c r="F50" s="63">
        <v>0.21875</v>
      </c>
      <c r="G50" s="63">
        <v>0.85416666666666663</v>
      </c>
      <c r="H50" s="66">
        <v>225</v>
      </c>
      <c r="I50" s="65">
        <v>153617</v>
      </c>
      <c r="J50" s="65">
        <v>153882</v>
      </c>
      <c r="K50" s="65">
        <v>265</v>
      </c>
      <c r="L50" s="66">
        <v>24545</v>
      </c>
      <c r="M50" s="65">
        <v>0</v>
      </c>
      <c r="Q50" s="12">
        <v>7.2916666666666671E-2</v>
      </c>
      <c r="R50" s="12">
        <v>8.3333333333333329E-2</v>
      </c>
      <c r="S50" s="13">
        <v>0</v>
      </c>
      <c r="T50" s="14">
        <v>225</v>
      </c>
    </row>
    <row r="51" spans="1:20" ht="27.75" customHeight="1" x14ac:dyDescent="0.2">
      <c r="A51" s="60"/>
      <c r="B51" s="60" t="s">
        <v>123</v>
      </c>
      <c r="C51" s="61" t="s">
        <v>86</v>
      </c>
      <c r="D51" s="60" t="s">
        <v>38</v>
      </c>
      <c r="E51" s="62" t="s">
        <v>115</v>
      </c>
      <c r="F51" s="63">
        <v>0.21875</v>
      </c>
      <c r="G51" s="63">
        <v>0.85416666666666663</v>
      </c>
      <c r="H51" s="66">
        <v>225</v>
      </c>
      <c r="I51" s="65">
        <v>153882</v>
      </c>
      <c r="J51" s="65">
        <v>154109</v>
      </c>
      <c r="K51" s="65">
        <v>227</v>
      </c>
      <c r="L51" s="66">
        <v>87375</v>
      </c>
      <c r="M51" s="65"/>
      <c r="Q51" s="12">
        <v>7.2916666666666671E-2</v>
      </c>
      <c r="R51" s="12">
        <v>8.3333333333333329E-2</v>
      </c>
      <c r="S51" s="13">
        <v>0</v>
      </c>
      <c r="T51" s="14">
        <v>225</v>
      </c>
    </row>
    <row r="52" spans="1:20" ht="27.75" customHeight="1" x14ac:dyDescent="0.2">
      <c r="A52" s="72"/>
      <c r="B52" s="72" t="s">
        <v>125</v>
      </c>
      <c r="C52" s="73" t="s">
        <v>87</v>
      </c>
      <c r="D52" s="60" t="s">
        <v>38</v>
      </c>
      <c r="E52" s="74" t="s">
        <v>117</v>
      </c>
      <c r="F52" s="63">
        <v>0.27083333333333331</v>
      </c>
      <c r="G52" s="63">
        <v>0.75</v>
      </c>
      <c r="H52" s="75">
        <v>30</v>
      </c>
      <c r="I52" s="76">
        <v>154109</v>
      </c>
      <c r="J52" s="76">
        <v>154187</v>
      </c>
      <c r="K52" s="76">
        <v>78</v>
      </c>
      <c r="L52" s="75">
        <v>29454</v>
      </c>
      <c r="M52" s="76"/>
      <c r="Q52" s="12">
        <v>2.0833333333333332E-2</v>
      </c>
      <c r="R52" s="12">
        <v>0</v>
      </c>
      <c r="S52" s="13">
        <v>0</v>
      </c>
      <c r="T52" s="14">
        <v>30</v>
      </c>
    </row>
    <row r="53" spans="1:20" ht="27.75" customHeight="1" x14ac:dyDescent="0.2">
      <c r="A53" s="72"/>
      <c r="B53" s="72" t="s">
        <v>124</v>
      </c>
      <c r="C53" s="73" t="s">
        <v>116</v>
      </c>
      <c r="D53" s="60" t="s">
        <v>38</v>
      </c>
      <c r="E53" s="74" t="s">
        <v>118</v>
      </c>
      <c r="F53" s="63">
        <v>0.3125</v>
      </c>
      <c r="G53" s="63">
        <v>0.85416666666666663</v>
      </c>
      <c r="H53" s="75">
        <v>120</v>
      </c>
      <c r="I53" s="76">
        <v>154187</v>
      </c>
      <c r="J53" s="76">
        <v>154353</v>
      </c>
      <c r="K53" s="76">
        <v>166</v>
      </c>
      <c r="L53" s="75">
        <v>29454</v>
      </c>
      <c r="M53" s="76"/>
      <c r="Q53" s="12">
        <v>0</v>
      </c>
      <c r="R53" s="12">
        <v>8.3333333333333329E-2</v>
      </c>
      <c r="S53" s="13">
        <v>0</v>
      </c>
      <c r="T53" s="14">
        <v>120</v>
      </c>
    </row>
    <row r="54" spans="1:20" ht="27.75" customHeight="1" x14ac:dyDescent="0.2">
      <c r="A54" s="72"/>
      <c r="B54" s="72"/>
      <c r="C54" s="73"/>
      <c r="D54" s="72"/>
      <c r="E54" s="74"/>
      <c r="F54" s="63"/>
      <c r="G54" s="63"/>
      <c r="H54" s="75"/>
      <c r="I54" s="76"/>
      <c r="J54" s="76"/>
      <c r="K54" s="76"/>
      <c r="L54" s="75"/>
      <c r="M54" s="76"/>
      <c r="Q54" s="12">
        <f t="shared" ref="Q33:Q54" si="0">IF(F54&lt;$Q$8,$Q$8-F54,0)</f>
        <v>0.29166666666666669</v>
      </c>
      <c r="R54" s="12">
        <f t="shared" ref="R33:R54" si="1">IF(G54&gt;$R$8,G54-$R$8,0)</f>
        <v>0</v>
      </c>
      <c r="S54" s="13">
        <f t="shared" ref="S33:S54" si="2">(HOUR(Q54)*60+MINUTE(Q54))+(HOUR(R54)*60+MINUTE(R54))-H54</f>
        <v>420</v>
      </c>
      <c r="T54" s="14">
        <f t="shared" ref="T33:T54" si="3">(HOUR(Q54)*60+MINUTE(Q54))+(HOUR(R54)*60+MINUTE(R54))</f>
        <v>420</v>
      </c>
    </row>
    <row r="55" spans="1:20" ht="28.5" customHeight="1" x14ac:dyDescent="0.2">
      <c r="A55" s="77"/>
      <c r="B55" s="77"/>
      <c r="C55" s="78"/>
      <c r="D55" s="77"/>
      <c r="E55" s="79" t="s">
        <v>24</v>
      </c>
      <c r="F55" s="80"/>
      <c r="G55" s="80"/>
      <c r="H55" s="15">
        <f t="shared" ref="H55:L55" si="4">SUM(H9:H54)</f>
        <v>5095</v>
      </c>
      <c r="I55" s="15"/>
      <c r="J55" s="15"/>
      <c r="K55" s="15">
        <f>SUM(K9:K54)</f>
        <v>6999</v>
      </c>
      <c r="L55" s="15">
        <f t="shared" si="4"/>
        <v>2398497</v>
      </c>
      <c r="M55" s="15">
        <v>0</v>
      </c>
      <c r="S55" s="5" t="e">
        <f>SumOverTime_Ex/60</f>
        <v>#NAME?</v>
      </c>
    </row>
    <row r="56" spans="1:20" s="67" customFormat="1" ht="25.5" x14ac:dyDescent="0.2">
      <c r="A56" s="81" t="s">
        <v>9</v>
      </c>
      <c r="B56" s="82"/>
      <c r="C56" s="146" t="s">
        <v>25</v>
      </c>
      <c r="D56" s="147"/>
      <c r="E56" s="147"/>
      <c r="F56" s="147"/>
      <c r="G56" s="147"/>
      <c r="H56" s="147"/>
      <c r="I56" s="147"/>
      <c r="J56" s="148"/>
      <c r="K56" s="83" t="s">
        <v>26</v>
      </c>
      <c r="L56" s="84" t="s">
        <v>27</v>
      </c>
      <c r="M56" s="85" t="s">
        <v>28</v>
      </c>
    </row>
    <row r="57" spans="1:20" ht="25.5" customHeight="1" x14ac:dyDescent="0.25">
      <c r="A57" s="16">
        <v>1</v>
      </c>
      <c r="B57" s="16"/>
      <c r="C57" s="149" t="s">
        <v>29</v>
      </c>
      <c r="D57" s="150"/>
      <c r="E57" s="150"/>
      <c r="F57" s="150"/>
      <c r="G57" s="150"/>
      <c r="H57" s="150"/>
      <c r="I57" s="150"/>
      <c r="J57" s="150"/>
      <c r="K57" s="17">
        <v>1</v>
      </c>
      <c r="L57" s="18">
        <v>27000000</v>
      </c>
      <c r="M57" s="19">
        <f>L57*K57</f>
        <v>27000000</v>
      </c>
    </row>
    <row r="58" spans="1:20" ht="25.5" customHeight="1" x14ac:dyDescent="0.25">
      <c r="A58" s="16">
        <v>2</v>
      </c>
      <c r="B58" s="16"/>
      <c r="C58" s="151" t="s">
        <v>30</v>
      </c>
      <c r="D58" s="127"/>
      <c r="E58" s="127"/>
      <c r="F58" s="127"/>
      <c r="G58" s="127"/>
      <c r="H58" s="127"/>
      <c r="I58" s="127"/>
      <c r="J58" s="127"/>
      <c r="K58" s="20"/>
      <c r="L58" s="21"/>
      <c r="M58" s="19">
        <f t="shared" ref="M58:M61" si="5">L58*K58</f>
        <v>0</v>
      </c>
    </row>
    <row r="59" spans="1:20" ht="25.5" customHeight="1" x14ac:dyDescent="0.2">
      <c r="A59" s="16"/>
      <c r="B59" s="16"/>
      <c r="C59" s="143" t="s">
        <v>39</v>
      </c>
      <c r="D59" s="144"/>
      <c r="E59" s="144"/>
      <c r="F59" s="144"/>
      <c r="G59" s="144"/>
      <c r="H59" s="144"/>
      <c r="I59" s="144"/>
      <c r="J59" s="145"/>
      <c r="K59" s="20"/>
      <c r="L59" s="21"/>
      <c r="M59" s="19">
        <f t="shared" si="5"/>
        <v>0</v>
      </c>
    </row>
    <row r="60" spans="1:20" ht="25.5" customHeight="1" x14ac:dyDescent="0.25">
      <c r="A60" s="16">
        <v>3</v>
      </c>
      <c r="B60" s="16"/>
      <c r="C60" s="137" t="s">
        <v>31</v>
      </c>
      <c r="D60" s="127"/>
      <c r="E60" s="127"/>
      <c r="F60" s="127"/>
      <c r="G60" s="127"/>
      <c r="H60" s="127"/>
      <c r="I60" s="127"/>
      <c r="J60" s="127"/>
      <c r="K60" s="22">
        <f>K55-2600</f>
        <v>4399</v>
      </c>
      <c r="L60" s="18">
        <v>7000</v>
      </c>
      <c r="M60" s="19">
        <f t="shared" si="5"/>
        <v>30793000</v>
      </c>
    </row>
    <row r="61" spans="1:20" ht="25.5" customHeight="1" x14ac:dyDescent="0.25">
      <c r="A61" s="16">
        <v>4</v>
      </c>
      <c r="B61" s="16"/>
      <c r="C61" s="137" t="s">
        <v>32</v>
      </c>
      <c r="D61" s="127"/>
      <c r="E61" s="127"/>
      <c r="F61" s="127"/>
      <c r="G61" s="127"/>
      <c r="H61" s="127"/>
      <c r="I61" s="127"/>
      <c r="J61" s="127"/>
      <c r="K61" s="22">
        <f>H55/60</f>
        <v>84.916666666666671</v>
      </c>
      <c r="L61" s="18">
        <v>70000</v>
      </c>
      <c r="M61" s="19">
        <f t="shared" si="5"/>
        <v>5944166.666666667</v>
      </c>
    </row>
    <row r="62" spans="1:20" ht="25.5" customHeight="1" x14ac:dyDescent="0.25">
      <c r="A62" s="16">
        <v>5</v>
      </c>
      <c r="B62" s="16"/>
      <c r="C62" s="137" t="s">
        <v>33</v>
      </c>
      <c r="D62" s="127"/>
      <c r="E62" s="127"/>
      <c r="F62" s="127"/>
      <c r="G62" s="127"/>
      <c r="H62" s="127"/>
      <c r="I62" s="127"/>
      <c r="J62" s="127"/>
      <c r="K62" s="24"/>
      <c r="L62" s="23"/>
      <c r="M62" s="23">
        <f>L55/1.08</f>
        <v>2220830.5555555555</v>
      </c>
    </row>
    <row r="63" spans="1:20" ht="25.5" customHeight="1" x14ac:dyDescent="0.25">
      <c r="A63" s="126" t="s">
        <v>34</v>
      </c>
      <c r="B63" s="126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23">
        <f>SUM(M57:M62)</f>
        <v>65957997.222222216</v>
      </c>
    </row>
    <row r="64" spans="1:20" ht="25.5" customHeight="1" x14ac:dyDescent="0.2">
      <c r="A64" s="126" t="s">
        <v>35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23">
        <f>M63*0.08</f>
        <v>5276639.7777777771</v>
      </c>
    </row>
    <row r="65" spans="1:22" ht="25.5" customHeight="1" x14ac:dyDescent="0.25">
      <c r="A65" s="128" t="s">
        <v>36</v>
      </c>
      <c r="B65" s="129"/>
      <c r="C65" s="130"/>
      <c r="D65" s="130"/>
      <c r="E65" s="130"/>
      <c r="F65" s="130"/>
      <c r="G65" s="130"/>
      <c r="H65" s="130"/>
      <c r="I65" s="130"/>
      <c r="J65" s="130"/>
      <c r="K65" s="130"/>
      <c r="L65" s="131"/>
      <c r="M65" s="25">
        <f>SUM(M63:M64)</f>
        <v>71234637</v>
      </c>
      <c r="V65" s="5">
        <f>60*17</f>
        <v>1020</v>
      </c>
    </row>
    <row r="66" spans="1:22" ht="25.5" customHeight="1" x14ac:dyDescent="0.2">
      <c r="A66" s="26" t="s">
        <v>37</v>
      </c>
      <c r="B66" s="26"/>
      <c r="C66" s="132"/>
      <c r="D66" s="133"/>
      <c r="E66" s="133"/>
      <c r="F66" s="133"/>
      <c r="G66" s="133"/>
      <c r="H66" s="133"/>
      <c r="I66" s="133"/>
      <c r="J66" s="133"/>
      <c r="K66" s="133"/>
      <c r="L66" s="133"/>
      <c r="M66" s="134"/>
    </row>
    <row r="67" spans="1:22" ht="15.75" x14ac:dyDescent="0.2">
      <c r="A67" s="27"/>
      <c r="B67" s="27"/>
      <c r="C67" s="28"/>
      <c r="D67" s="27"/>
      <c r="E67" s="27"/>
      <c r="F67" s="27"/>
      <c r="G67" s="27"/>
      <c r="H67" s="4"/>
      <c r="I67" s="4"/>
      <c r="J67" s="29"/>
      <c r="K67" s="4"/>
      <c r="L67" s="4"/>
      <c r="M67" s="4"/>
    </row>
    <row r="68" spans="1:22" ht="45.75" customHeight="1" x14ac:dyDescent="0.2">
      <c r="A68" s="136" t="s">
        <v>47</v>
      </c>
      <c r="B68" s="136"/>
      <c r="C68" s="136"/>
      <c r="D68" s="136"/>
      <c r="E68" s="136"/>
      <c r="F68" s="30"/>
      <c r="G68" s="30"/>
      <c r="H68" s="29"/>
      <c r="I68" s="135" t="s">
        <v>0</v>
      </c>
      <c r="J68" s="135"/>
      <c r="K68" s="135"/>
      <c r="L68" s="135"/>
      <c r="M68" s="135"/>
    </row>
    <row r="69" spans="1:22" ht="15.75" x14ac:dyDescent="0.2">
      <c r="A69" s="27"/>
      <c r="B69" s="27"/>
      <c r="C69" s="28"/>
      <c r="D69" s="27"/>
      <c r="E69" s="27"/>
      <c r="F69" s="27"/>
      <c r="G69" s="27"/>
      <c r="H69" s="4"/>
      <c r="I69" s="4"/>
      <c r="J69" s="4"/>
      <c r="K69" s="31"/>
      <c r="L69" s="31"/>
      <c r="M69" s="31"/>
    </row>
    <row r="70" spans="1:22" x14ac:dyDescent="0.2">
      <c r="C70" s="32"/>
    </row>
    <row r="71" spans="1:22" x14ac:dyDescent="0.2">
      <c r="C71" s="32"/>
    </row>
    <row r="72" spans="1:22" x14ac:dyDescent="0.2">
      <c r="C72" s="32"/>
    </row>
    <row r="73" spans="1:22" x14ac:dyDescent="0.2">
      <c r="C73" s="32"/>
    </row>
    <row r="74" spans="1:22" x14ac:dyDescent="0.2">
      <c r="C74" s="32"/>
    </row>
    <row r="75" spans="1:22" x14ac:dyDescent="0.2">
      <c r="C75" s="32"/>
      <c r="I75" s="125"/>
      <c r="J75" s="125"/>
      <c r="K75" s="125"/>
      <c r="L75" s="125"/>
      <c r="M75" s="125"/>
    </row>
    <row r="76" spans="1:22" x14ac:dyDescent="0.2">
      <c r="C76" s="32"/>
    </row>
    <row r="77" spans="1:22" x14ac:dyDescent="0.2">
      <c r="C77" s="32"/>
    </row>
    <row r="78" spans="1:22" x14ac:dyDescent="0.2">
      <c r="C78" s="32"/>
    </row>
    <row r="79" spans="1:22" x14ac:dyDescent="0.2">
      <c r="C79" s="32"/>
    </row>
    <row r="80" spans="1:22" x14ac:dyDescent="0.2">
      <c r="C80" s="32"/>
    </row>
    <row r="81" spans="3:3" x14ac:dyDescent="0.2">
      <c r="C81" s="32"/>
    </row>
    <row r="82" spans="3:3" x14ac:dyDescent="0.2">
      <c r="C82" s="32"/>
    </row>
    <row r="83" spans="3:3" x14ac:dyDescent="0.2">
      <c r="C83" s="32"/>
    </row>
    <row r="84" spans="3:3" x14ac:dyDescent="0.2">
      <c r="C84" s="32"/>
    </row>
    <row r="85" spans="3:3" x14ac:dyDescent="0.2">
      <c r="C85" s="32"/>
    </row>
    <row r="86" spans="3:3" x14ac:dyDescent="0.2">
      <c r="C86" s="32"/>
    </row>
    <row r="87" spans="3:3" x14ac:dyDescent="0.2">
      <c r="C87" s="32"/>
    </row>
    <row r="88" spans="3:3" x14ac:dyDescent="0.2">
      <c r="C88" s="32"/>
    </row>
    <row r="89" spans="3:3" x14ac:dyDescent="0.2">
      <c r="C89" s="32"/>
    </row>
    <row r="90" spans="3:3" x14ac:dyDescent="0.2">
      <c r="C90" s="32"/>
    </row>
    <row r="91" spans="3:3" x14ac:dyDescent="0.2">
      <c r="C91" s="32"/>
    </row>
    <row r="92" spans="3:3" x14ac:dyDescent="0.2">
      <c r="C92" s="32"/>
    </row>
    <row r="93" spans="3:3" x14ac:dyDescent="0.2">
      <c r="C93" s="32"/>
    </row>
    <row r="94" spans="3:3" x14ac:dyDescent="0.2">
      <c r="C94" s="32"/>
    </row>
    <row r="95" spans="3:3" x14ac:dyDescent="0.2">
      <c r="C95" s="32"/>
    </row>
    <row r="96" spans="3:3" x14ac:dyDescent="0.2">
      <c r="C96" s="32"/>
    </row>
    <row r="97" spans="3:3" x14ac:dyDescent="0.2">
      <c r="C97" s="32"/>
    </row>
    <row r="98" spans="3:3" x14ac:dyDescent="0.2">
      <c r="C98" s="32"/>
    </row>
    <row r="99" spans="3:3" x14ac:dyDescent="0.2">
      <c r="C99" s="32"/>
    </row>
    <row r="100" spans="3:3" x14ac:dyDescent="0.2">
      <c r="C100" s="32"/>
    </row>
    <row r="101" spans="3:3" x14ac:dyDescent="0.2">
      <c r="C101" s="32"/>
    </row>
    <row r="102" spans="3:3" x14ac:dyDescent="0.2">
      <c r="C102" s="32"/>
    </row>
    <row r="103" spans="3:3" x14ac:dyDescent="0.2">
      <c r="C103" s="32"/>
    </row>
    <row r="104" spans="3:3" x14ac:dyDescent="0.2">
      <c r="C104" s="32"/>
    </row>
  </sheetData>
  <autoFilter ref="A8:M66" xr:uid="{00000000-0009-0000-0000-00000A000000}"/>
  <mergeCells count="20">
    <mergeCell ref="C62:J62"/>
    <mergeCell ref="A1:E1"/>
    <mergeCell ref="A2:E2"/>
    <mergeCell ref="A3:E3"/>
    <mergeCell ref="A4:E4"/>
    <mergeCell ref="A5:M5"/>
    <mergeCell ref="A6:M6"/>
    <mergeCell ref="C59:J59"/>
    <mergeCell ref="C56:J56"/>
    <mergeCell ref="C57:J57"/>
    <mergeCell ref="C58:J58"/>
    <mergeCell ref="C60:J60"/>
    <mergeCell ref="C61:J61"/>
    <mergeCell ref="I75:M75"/>
    <mergeCell ref="A63:L63"/>
    <mergeCell ref="A64:L64"/>
    <mergeCell ref="A65:L65"/>
    <mergeCell ref="C66:M66"/>
    <mergeCell ref="I68:M68"/>
    <mergeCell ref="A68:E68"/>
  </mergeCells>
  <pageMargins left="0.7" right="0.7" top="0.75" bottom="0.75" header="0.3" footer="0.3"/>
  <pageSetup paperSize="9" scale="5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9546-FB9D-419D-93A2-209DD1393992}">
  <sheetPr codeName="Sheet4">
    <pageSetUpPr fitToPage="1"/>
  </sheetPr>
  <dimension ref="A1:V84"/>
  <sheetViews>
    <sheetView tabSelected="1" topLeftCell="A14" workbookViewId="0">
      <selection activeCell="E19" sqref="E19"/>
    </sheetView>
  </sheetViews>
  <sheetFormatPr defaultColWidth="9.125" defaultRowHeight="15" x14ac:dyDescent="0.2"/>
  <cols>
    <col min="1" max="1" width="8.375" style="5" customWidth="1"/>
    <col min="2" max="2" width="12.5" style="5" customWidth="1"/>
    <col min="3" max="3" width="12" style="5" bestFit="1" customWidth="1"/>
    <col min="4" max="4" width="19" style="5" customWidth="1"/>
    <col min="5" max="5" width="48" style="5" customWidth="1"/>
    <col min="6" max="6" width="7" style="5" customWidth="1"/>
    <col min="7" max="7" width="7.5" style="5" customWidth="1"/>
    <col min="8" max="8" width="7.125" style="33" customWidth="1"/>
    <col min="9" max="9" width="9.125" style="33" customWidth="1"/>
    <col min="10" max="10" width="9" style="33" customWidth="1"/>
    <col min="11" max="11" width="9.125" style="33"/>
    <col min="12" max="12" width="15.5" style="33" bestFit="1" customWidth="1"/>
    <col min="13" max="13" width="14" style="33" customWidth="1"/>
    <col min="14" max="16" width="9.125" style="5"/>
    <col min="17" max="17" width="6.5" style="5" customWidth="1"/>
    <col min="18" max="16384" width="9.125" style="5"/>
  </cols>
  <sheetData>
    <row r="1" spans="1:20" ht="15.75" x14ac:dyDescent="0.2">
      <c r="A1" s="138" t="s">
        <v>0</v>
      </c>
      <c r="B1" s="138"/>
      <c r="C1" s="139"/>
      <c r="D1" s="139"/>
      <c r="E1" s="139"/>
      <c r="F1" s="2"/>
      <c r="G1" s="2"/>
      <c r="H1" s="3"/>
      <c r="I1" s="3"/>
      <c r="J1" s="3"/>
      <c r="K1" s="4"/>
      <c r="L1" s="86" t="s">
        <v>1</v>
      </c>
      <c r="M1" s="87" t="s">
        <v>45</v>
      </c>
    </row>
    <row r="2" spans="1:20" ht="15.75" x14ac:dyDescent="0.2">
      <c r="A2" s="138" t="s">
        <v>2</v>
      </c>
      <c r="B2" s="138"/>
      <c r="C2" s="139"/>
      <c r="D2" s="139"/>
      <c r="E2" s="139"/>
      <c r="F2" s="6"/>
      <c r="G2" s="6"/>
      <c r="H2" s="7"/>
      <c r="I2" s="7"/>
      <c r="J2" s="7"/>
      <c r="K2" s="4"/>
      <c r="L2" s="86" t="s">
        <v>3</v>
      </c>
      <c r="M2" s="88">
        <v>7000</v>
      </c>
    </row>
    <row r="3" spans="1:20" ht="15.75" x14ac:dyDescent="0.2">
      <c r="A3" s="138" t="s">
        <v>4</v>
      </c>
      <c r="B3" s="138"/>
      <c r="C3" s="139"/>
      <c r="D3" s="139"/>
      <c r="E3" s="139"/>
      <c r="F3" s="6"/>
      <c r="G3" s="6"/>
      <c r="H3" s="7"/>
      <c r="I3" s="7"/>
      <c r="J3" s="7"/>
      <c r="K3" s="4"/>
      <c r="L3" s="86" t="s">
        <v>5</v>
      </c>
      <c r="M3" s="87">
        <v>70000</v>
      </c>
    </row>
    <row r="4" spans="1:20" ht="15.75" x14ac:dyDescent="0.2">
      <c r="A4" s="138" t="s">
        <v>6</v>
      </c>
      <c r="B4" s="138"/>
      <c r="C4" s="139"/>
      <c r="D4" s="139"/>
      <c r="E4" s="139"/>
      <c r="F4" s="6"/>
      <c r="G4" s="6"/>
      <c r="H4" s="7"/>
      <c r="I4" s="7"/>
      <c r="J4" s="7"/>
      <c r="K4" s="4"/>
      <c r="L4" s="86" t="s">
        <v>7</v>
      </c>
      <c r="M4" s="89" t="s">
        <v>46</v>
      </c>
    </row>
    <row r="5" spans="1:20" ht="15.75" x14ac:dyDescent="0.25">
      <c r="A5" s="140" t="s">
        <v>43</v>
      </c>
      <c r="B5" s="140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</row>
    <row r="6" spans="1:20" ht="15.75" customHeight="1" x14ac:dyDescent="0.25">
      <c r="A6" s="142" t="s">
        <v>119</v>
      </c>
      <c r="B6" s="142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</row>
    <row r="7" spans="1:20" ht="15" customHeight="1" x14ac:dyDescent="0.25">
      <c r="A7" s="8" t="s">
        <v>8</v>
      </c>
      <c r="C7" s="9" t="s">
        <v>44</v>
      </c>
      <c r="D7" s="10"/>
      <c r="E7" s="10"/>
      <c r="F7" s="10"/>
      <c r="G7" s="10"/>
      <c r="H7" s="11"/>
      <c r="I7" s="11"/>
      <c r="J7" s="11"/>
      <c r="K7" s="11"/>
      <c r="L7" s="11"/>
      <c r="M7" s="11"/>
    </row>
    <row r="8" spans="1:20" s="67" customFormat="1" ht="51" x14ac:dyDescent="0.2">
      <c r="A8" s="90" t="s">
        <v>9</v>
      </c>
      <c r="B8" s="90" t="s">
        <v>10</v>
      </c>
      <c r="C8" s="91" t="s">
        <v>11</v>
      </c>
      <c r="D8" s="90" t="s">
        <v>12</v>
      </c>
      <c r="E8" s="90" t="s">
        <v>13</v>
      </c>
      <c r="F8" s="90" t="s">
        <v>14</v>
      </c>
      <c r="G8" s="90" t="s">
        <v>15</v>
      </c>
      <c r="H8" s="92" t="s">
        <v>16</v>
      </c>
      <c r="I8" s="92" t="s">
        <v>17</v>
      </c>
      <c r="J8" s="92" t="s">
        <v>18</v>
      </c>
      <c r="K8" s="92" t="s">
        <v>19</v>
      </c>
      <c r="L8" s="93" t="s">
        <v>20</v>
      </c>
      <c r="M8" s="92" t="s">
        <v>21</v>
      </c>
      <c r="Q8" s="94">
        <v>0.29166666666666669</v>
      </c>
      <c r="R8" s="94">
        <v>0.77083333333333337</v>
      </c>
      <c r="S8" s="95"/>
      <c r="T8" s="96" t="s">
        <v>22</v>
      </c>
    </row>
    <row r="9" spans="1:20" ht="21" customHeight="1" x14ac:dyDescent="0.2">
      <c r="A9" s="60"/>
      <c r="B9" s="60" t="str">
        <f>TEXT(C9,"dddd")</f>
        <v>Thứ Hai</v>
      </c>
      <c r="C9" s="61" t="s">
        <v>53</v>
      </c>
      <c r="D9" s="60" t="s">
        <v>38</v>
      </c>
      <c r="E9" s="114" t="s">
        <v>98</v>
      </c>
      <c r="F9" s="63">
        <v>0.27083333333333331</v>
      </c>
      <c r="G9" s="63">
        <v>0.85416666666666663</v>
      </c>
      <c r="H9" s="65">
        <f>T9</f>
        <v>150</v>
      </c>
      <c r="I9" s="65">
        <v>150392</v>
      </c>
      <c r="J9" s="65">
        <v>150560</v>
      </c>
      <c r="K9" s="65">
        <f>J9-I9</f>
        <v>168</v>
      </c>
      <c r="L9" s="65">
        <v>19636</v>
      </c>
      <c r="M9" s="65">
        <v>0</v>
      </c>
      <c r="Q9" s="12">
        <f>IF(F9&lt;$Q$8,$Q$8-F9,0)</f>
        <v>2.083333333333337E-2</v>
      </c>
      <c r="R9" s="12">
        <f>IF(G9&gt;$R$8,G9-$R$8,0)</f>
        <v>8.3333333333333259E-2</v>
      </c>
      <c r="S9" s="13">
        <f>(HOUR(Q9)*60+MINUTE(Q9))+(HOUR(R9)*60+MINUTE(R9))-H9</f>
        <v>0</v>
      </c>
      <c r="T9" s="14">
        <f>(HOUR(Q9)*60+MINUTE(Q9))+(HOUR(R9)*60+MINUTE(R9))</f>
        <v>150</v>
      </c>
    </row>
    <row r="10" spans="1:20" ht="21" customHeight="1" x14ac:dyDescent="0.2">
      <c r="A10" s="60"/>
      <c r="B10" s="60" t="str">
        <f t="shared" ref="B10:B32" si="0">TEXT(C10,"dddd")</f>
        <v>Thứ Ba</v>
      </c>
      <c r="C10" s="61" t="s">
        <v>54</v>
      </c>
      <c r="D10" s="60" t="s">
        <v>38</v>
      </c>
      <c r="E10" s="114" t="s">
        <v>42</v>
      </c>
      <c r="F10" s="63">
        <v>0.27083333333333331</v>
      </c>
      <c r="G10" s="63">
        <v>1</v>
      </c>
      <c r="H10" s="65">
        <f t="shared" ref="H10:H32" si="1">T10</f>
        <v>360</v>
      </c>
      <c r="I10" s="65">
        <v>150560</v>
      </c>
      <c r="J10" s="65">
        <v>150757</v>
      </c>
      <c r="K10" s="65">
        <f t="shared" ref="K10:K32" si="2">J10-I10</f>
        <v>197</v>
      </c>
      <c r="L10" s="65">
        <v>71727</v>
      </c>
      <c r="M10" s="65">
        <v>0</v>
      </c>
      <c r="Q10" s="12">
        <f t="shared" ref="Q10:Q29" si="3">IF(F10&lt;$Q$8,$Q$8-F10,0)</f>
        <v>2.083333333333337E-2</v>
      </c>
      <c r="R10" s="12">
        <f t="shared" ref="R10:R29" si="4">IF(G10&gt;$R$8,G10-$R$8,0)</f>
        <v>0.22916666666666663</v>
      </c>
      <c r="S10" s="13">
        <f t="shared" ref="S10:S29" si="5">(HOUR(Q10)*60+MINUTE(Q10))+(HOUR(R10)*60+MINUTE(R10))-H10</f>
        <v>0</v>
      </c>
      <c r="T10" s="14">
        <f t="shared" ref="T10:T29" si="6">(HOUR(Q10)*60+MINUTE(Q10))+(HOUR(R10)*60+MINUTE(R10))</f>
        <v>360</v>
      </c>
    </row>
    <row r="11" spans="1:20" ht="21" customHeight="1" x14ac:dyDescent="0.2">
      <c r="A11" s="60"/>
      <c r="B11" s="60" t="str">
        <f t="shared" si="0"/>
        <v>Thứ Tư</v>
      </c>
      <c r="C11" s="61" t="s">
        <v>55</v>
      </c>
      <c r="D11" s="60" t="s">
        <v>38</v>
      </c>
      <c r="E11" s="114" t="s">
        <v>99</v>
      </c>
      <c r="F11" s="63">
        <v>0.27083333333333331</v>
      </c>
      <c r="G11" s="63">
        <v>0.8125</v>
      </c>
      <c r="H11" s="65">
        <f t="shared" si="1"/>
        <v>90</v>
      </c>
      <c r="I11" s="65">
        <v>150757</v>
      </c>
      <c r="J11" s="65">
        <v>150815</v>
      </c>
      <c r="K11" s="65">
        <f t="shared" si="2"/>
        <v>58</v>
      </c>
      <c r="L11" s="65">
        <v>44181</v>
      </c>
      <c r="M11" s="65">
        <v>0</v>
      </c>
      <c r="Q11" s="12">
        <f t="shared" si="3"/>
        <v>2.083333333333337E-2</v>
      </c>
      <c r="R11" s="12">
        <f t="shared" si="4"/>
        <v>4.166666666666663E-2</v>
      </c>
      <c r="S11" s="13">
        <f t="shared" si="5"/>
        <v>0</v>
      </c>
      <c r="T11" s="14">
        <f t="shared" si="6"/>
        <v>90</v>
      </c>
    </row>
    <row r="12" spans="1:20" ht="21" customHeight="1" x14ac:dyDescent="0.2">
      <c r="A12" s="60"/>
      <c r="B12" s="60" t="str">
        <f t="shared" si="0"/>
        <v>Thứ Năm</v>
      </c>
      <c r="C12" s="61" t="s">
        <v>56</v>
      </c>
      <c r="D12" s="60" t="s">
        <v>38</v>
      </c>
      <c r="E12" s="114" t="s">
        <v>100</v>
      </c>
      <c r="F12" s="63">
        <v>0.25</v>
      </c>
      <c r="G12" s="63">
        <v>0.77083333333333337</v>
      </c>
      <c r="H12" s="65">
        <f t="shared" si="1"/>
        <v>60</v>
      </c>
      <c r="I12" s="65">
        <v>150815</v>
      </c>
      <c r="J12" s="65">
        <v>150941</v>
      </c>
      <c r="K12" s="65">
        <f t="shared" si="2"/>
        <v>126</v>
      </c>
      <c r="L12" s="65">
        <v>72908</v>
      </c>
      <c r="M12" s="65">
        <v>0</v>
      </c>
      <c r="Q12" s="12">
        <f t="shared" si="3"/>
        <v>4.1666666666666685E-2</v>
      </c>
      <c r="R12" s="12">
        <f t="shared" si="4"/>
        <v>0</v>
      </c>
      <c r="S12" s="13">
        <f t="shared" si="5"/>
        <v>0</v>
      </c>
      <c r="T12" s="14">
        <f t="shared" si="6"/>
        <v>60</v>
      </c>
    </row>
    <row r="13" spans="1:20" ht="21" customHeight="1" x14ac:dyDescent="0.2">
      <c r="A13" s="60"/>
      <c r="B13" s="60" t="str">
        <f t="shared" si="0"/>
        <v>Thứ Sáu</v>
      </c>
      <c r="C13" s="61" t="s">
        <v>57</v>
      </c>
      <c r="D13" s="60" t="s">
        <v>38</v>
      </c>
      <c r="E13" s="114" t="s">
        <v>101</v>
      </c>
      <c r="F13" s="63">
        <v>0.25</v>
      </c>
      <c r="G13" s="63">
        <v>0.77083333333333337</v>
      </c>
      <c r="H13" s="65">
        <f t="shared" si="1"/>
        <v>60</v>
      </c>
      <c r="I13" s="65">
        <v>150941</v>
      </c>
      <c r="J13" s="65">
        <v>151098</v>
      </c>
      <c r="K13" s="65">
        <f t="shared" si="2"/>
        <v>157</v>
      </c>
      <c r="L13" s="65">
        <f>14727+8797+13846+13846+8797+9818</f>
        <v>69831</v>
      </c>
      <c r="M13" s="65">
        <v>0</v>
      </c>
      <c r="Q13" s="12">
        <f t="shared" si="3"/>
        <v>4.1666666666666685E-2</v>
      </c>
      <c r="R13" s="12">
        <f t="shared" si="4"/>
        <v>0</v>
      </c>
      <c r="S13" s="13">
        <f t="shared" si="5"/>
        <v>0</v>
      </c>
      <c r="T13" s="14">
        <f t="shared" si="6"/>
        <v>60</v>
      </c>
    </row>
    <row r="14" spans="1:20" ht="21" customHeight="1" x14ac:dyDescent="0.2">
      <c r="A14" s="60"/>
      <c r="B14" s="60" t="str">
        <f t="shared" si="0"/>
        <v>Thứ Bảy</v>
      </c>
      <c r="C14" s="61" t="s">
        <v>58</v>
      </c>
      <c r="D14" s="60" t="s">
        <v>38</v>
      </c>
      <c r="E14" s="114" t="s">
        <v>41</v>
      </c>
      <c r="F14" s="63">
        <v>0.29166666666666702</v>
      </c>
      <c r="G14" s="63">
        <v>0.75</v>
      </c>
      <c r="H14" s="65">
        <f t="shared" si="1"/>
        <v>0</v>
      </c>
      <c r="I14" s="65">
        <v>151098</v>
      </c>
      <c r="J14" s="65">
        <v>151168</v>
      </c>
      <c r="K14" s="65">
        <f t="shared" si="2"/>
        <v>70</v>
      </c>
      <c r="L14" s="65">
        <v>29454</v>
      </c>
      <c r="M14" s="65">
        <v>0</v>
      </c>
      <c r="Q14" s="12">
        <f t="shared" si="3"/>
        <v>0</v>
      </c>
      <c r="R14" s="12">
        <f t="shared" si="4"/>
        <v>0</v>
      </c>
      <c r="S14" s="13">
        <f t="shared" si="5"/>
        <v>0</v>
      </c>
      <c r="T14" s="14">
        <f t="shared" si="6"/>
        <v>0</v>
      </c>
    </row>
    <row r="15" spans="1:20" ht="21" customHeight="1" x14ac:dyDescent="0.2">
      <c r="A15" s="60"/>
      <c r="B15" s="60" t="str">
        <f t="shared" si="0"/>
        <v>Thứ Hai</v>
      </c>
      <c r="C15" s="61" t="s">
        <v>59</v>
      </c>
      <c r="D15" s="60" t="s">
        <v>38</v>
      </c>
      <c r="E15" s="114" t="s">
        <v>103</v>
      </c>
      <c r="F15" s="63">
        <v>0.23958333333333334</v>
      </c>
      <c r="G15" s="63">
        <v>0.83333333333333337</v>
      </c>
      <c r="H15" s="65">
        <f t="shared" si="1"/>
        <v>165</v>
      </c>
      <c r="I15" s="65">
        <v>151168</v>
      </c>
      <c r="J15" s="65">
        <v>151350</v>
      </c>
      <c r="K15" s="65">
        <f t="shared" si="2"/>
        <v>182</v>
      </c>
      <c r="L15" s="65">
        <v>66824</v>
      </c>
      <c r="M15" s="65">
        <v>0</v>
      </c>
      <c r="Q15" s="12">
        <f t="shared" si="3"/>
        <v>5.2083333333333343E-2</v>
      </c>
      <c r="R15" s="12">
        <f t="shared" si="4"/>
        <v>6.25E-2</v>
      </c>
      <c r="S15" s="13">
        <f t="shared" si="5"/>
        <v>0</v>
      </c>
      <c r="T15" s="14">
        <f t="shared" si="6"/>
        <v>165</v>
      </c>
    </row>
    <row r="16" spans="1:20" ht="21" customHeight="1" x14ac:dyDescent="0.2">
      <c r="A16" s="60"/>
      <c r="B16" s="60" t="str">
        <f t="shared" si="0"/>
        <v>Thứ Ba</v>
      </c>
      <c r="C16" s="61" t="s">
        <v>60</v>
      </c>
      <c r="D16" s="60" t="s">
        <v>38</v>
      </c>
      <c r="E16" s="114" t="s">
        <v>104</v>
      </c>
      <c r="F16" s="63">
        <v>0.29166666666666669</v>
      </c>
      <c r="G16" s="63">
        <v>0.85416666666666663</v>
      </c>
      <c r="H16" s="65">
        <f t="shared" si="1"/>
        <v>120</v>
      </c>
      <c r="I16" s="65">
        <v>151350</v>
      </c>
      <c r="J16" s="65">
        <v>151458</v>
      </c>
      <c r="K16" s="65">
        <f t="shared" si="2"/>
        <v>108</v>
      </c>
      <c r="L16" s="65">
        <v>88362</v>
      </c>
      <c r="M16" s="65">
        <v>0</v>
      </c>
      <c r="Q16" s="12">
        <f t="shared" si="3"/>
        <v>0</v>
      </c>
      <c r="R16" s="12">
        <f t="shared" si="4"/>
        <v>8.3333333333333259E-2</v>
      </c>
      <c r="S16" s="13">
        <f t="shared" si="5"/>
        <v>0</v>
      </c>
      <c r="T16" s="14">
        <f t="shared" si="6"/>
        <v>120</v>
      </c>
    </row>
    <row r="17" spans="1:20" ht="21" customHeight="1" x14ac:dyDescent="0.2">
      <c r="A17" s="60"/>
      <c r="B17" s="60" t="str">
        <f t="shared" si="0"/>
        <v>Thứ Tư</v>
      </c>
      <c r="C17" s="61" t="s">
        <v>61</v>
      </c>
      <c r="D17" s="60" t="s">
        <v>38</v>
      </c>
      <c r="E17" s="114" t="s">
        <v>105</v>
      </c>
      <c r="F17" s="63">
        <v>0.25</v>
      </c>
      <c r="G17" s="63">
        <v>0.875</v>
      </c>
      <c r="H17" s="65">
        <f t="shared" si="1"/>
        <v>210</v>
      </c>
      <c r="I17" s="65">
        <v>151458</v>
      </c>
      <c r="J17" s="65">
        <v>151622</v>
      </c>
      <c r="K17" s="65">
        <f t="shared" si="2"/>
        <v>164</v>
      </c>
      <c r="L17" s="65"/>
      <c r="M17" s="65">
        <v>0</v>
      </c>
      <c r="Q17" s="12">
        <f t="shared" si="3"/>
        <v>4.1666666666666685E-2</v>
      </c>
      <c r="R17" s="12">
        <f t="shared" si="4"/>
        <v>0.10416666666666663</v>
      </c>
      <c r="S17" s="13">
        <f t="shared" si="5"/>
        <v>0</v>
      </c>
      <c r="T17" s="14">
        <f t="shared" si="6"/>
        <v>210</v>
      </c>
    </row>
    <row r="18" spans="1:20" ht="21" customHeight="1" x14ac:dyDescent="0.2">
      <c r="A18" s="60"/>
      <c r="B18" s="60" t="str">
        <f t="shared" si="0"/>
        <v>Thứ Năm</v>
      </c>
      <c r="C18" s="61" t="s">
        <v>62</v>
      </c>
      <c r="D18" s="60" t="s">
        <v>38</v>
      </c>
      <c r="E18" s="114" t="s">
        <v>105</v>
      </c>
      <c r="F18" s="63">
        <v>0.27083333333333331</v>
      </c>
      <c r="G18" s="63">
        <v>0.89583333333333337</v>
      </c>
      <c r="H18" s="65">
        <f t="shared" si="1"/>
        <v>210</v>
      </c>
      <c r="I18" s="65">
        <v>151622</v>
      </c>
      <c r="J18" s="65">
        <v>151792</v>
      </c>
      <c r="K18" s="65">
        <f t="shared" si="2"/>
        <v>170</v>
      </c>
      <c r="L18" s="65">
        <v>22643</v>
      </c>
      <c r="M18" s="65">
        <v>0</v>
      </c>
      <c r="Q18" s="12">
        <f t="shared" si="3"/>
        <v>2.083333333333337E-2</v>
      </c>
      <c r="R18" s="12">
        <f t="shared" si="4"/>
        <v>0.125</v>
      </c>
      <c r="S18" s="13">
        <f t="shared" si="5"/>
        <v>0</v>
      </c>
      <c r="T18" s="14">
        <f t="shared" si="6"/>
        <v>210</v>
      </c>
    </row>
    <row r="19" spans="1:20" ht="21" customHeight="1" x14ac:dyDescent="0.2">
      <c r="A19" s="97"/>
      <c r="B19" s="97" t="str">
        <f t="shared" si="0"/>
        <v>Thứ Sáu</v>
      </c>
      <c r="C19" s="98" t="s">
        <v>63</v>
      </c>
      <c r="D19" s="97" t="s">
        <v>38</v>
      </c>
      <c r="E19" s="101" t="s">
        <v>106</v>
      </c>
      <c r="F19" s="99">
        <v>0.1875</v>
      </c>
      <c r="G19" s="99">
        <v>0.91666666666666663</v>
      </c>
      <c r="H19" s="100">
        <f t="shared" si="1"/>
        <v>360</v>
      </c>
      <c r="I19" s="100">
        <v>151792</v>
      </c>
      <c r="J19" s="100">
        <v>152127</v>
      </c>
      <c r="K19" s="100">
        <f t="shared" si="2"/>
        <v>335</v>
      </c>
      <c r="L19" s="100">
        <v>173259</v>
      </c>
      <c r="M19" s="100">
        <v>0</v>
      </c>
      <c r="Q19" s="12">
        <f t="shared" si="3"/>
        <v>0.10416666666666669</v>
      </c>
      <c r="R19" s="12">
        <f t="shared" si="4"/>
        <v>0.14583333333333326</v>
      </c>
      <c r="S19" s="13">
        <f t="shared" si="5"/>
        <v>0</v>
      </c>
      <c r="T19" s="14">
        <f t="shared" si="6"/>
        <v>360</v>
      </c>
    </row>
    <row r="20" spans="1:20" s="34" customFormat="1" ht="21" customHeight="1" x14ac:dyDescent="0.25">
      <c r="A20" s="68"/>
      <c r="B20" s="68" t="str">
        <f t="shared" si="0"/>
        <v>Thứ Bảy</v>
      </c>
      <c r="C20" s="69" t="s">
        <v>102</v>
      </c>
      <c r="D20" s="68" t="s">
        <v>38</v>
      </c>
      <c r="E20" s="121" t="s">
        <v>107</v>
      </c>
      <c r="F20" s="70">
        <v>0.25</v>
      </c>
      <c r="G20" s="70">
        <v>0.72916666666666663</v>
      </c>
      <c r="H20" s="71">
        <f t="shared" si="1"/>
        <v>60</v>
      </c>
      <c r="I20" s="71">
        <v>152127</v>
      </c>
      <c r="J20" s="71">
        <v>152442</v>
      </c>
      <c r="K20" s="71">
        <f t="shared" si="2"/>
        <v>315</v>
      </c>
      <c r="L20" s="71">
        <v>216119</v>
      </c>
      <c r="M20" s="71">
        <v>0</v>
      </c>
      <c r="Q20" s="35">
        <f t="shared" si="3"/>
        <v>4.1666666666666685E-2</v>
      </c>
      <c r="R20" s="35">
        <f t="shared" si="4"/>
        <v>0</v>
      </c>
      <c r="S20" s="36">
        <f t="shared" si="5"/>
        <v>0</v>
      </c>
      <c r="T20" s="37">
        <f t="shared" si="6"/>
        <v>60</v>
      </c>
    </row>
    <row r="21" spans="1:20" ht="21" customHeight="1" x14ac:dyDescent="0.2">
      <c r="A21" s="60"/>
      <c r="B21" s="60" t="str">
        <f t="shared" si="0"/>
        <v>Thứ Hai</v>
      </c>
      <c r="C21" s="61" t="s">
        <v>64</v>
      </c>
      <c r="D21" s="60" t="s">
        <v>38</v>
      </c>
      <c r="E21" s="114" t="s">
        <v>108</v>
      </c>
      <c r="F21" s="63">
        <v>0.24305555555555555</v>
      </c>
      <c r="G21" s="63">
        <v>0.8125</v>
      </c>
      <c r="H21" s="65">
        <f t="shared" si="1"/>
        <v>130</v>
      </c>
      <c r="I21" s="65">
        <v>152442</v>
      </c>
      <c r="J21" s="65">
        <v>152515</v>
      </c>
      <c r="K21" s="65">
        <f t="shared" si="2"/>
        <v>73</v>
      </c>
      <c r="L21" s="65">
        <v>0</v>
      </c>
      <c r="M21" s="65">
        <v>0</v>
      </c>
      <c r="Q21" s="12">
        <f t="shared" si="3"/>
        <v>4.8611111111111133E-2</v>
      </c>
      <c r="R21" s="12">
        <f t="shared" si="4"/>
        <v>4.166666666666663E-2</v>
      </c>
      <c r="S21" s="13">
        <f t="shared" si="5"/>
        <v>0</v>
      </c>
      <c r="T21" s="14">
        <f t="shared" si="6"/>
        <v>130</v>
      </c>
    </row>
    <row r="22" spans="1:20" ht="21" customHeight="1" x14ac:dyDescent="0.2">
      <c r="A22" s="60"/>
      <c r="B22" s="60" t="str">
        <f t="shared" si="0"/>
        <v>Thứ Ba</v>
      </c>
      <c r="C22" s="61" t="s">
        <v>65</v>
      </c>
      <c r="D22" s="60" t="s">
        <v>38</v>
      </c>
      <c r="E22" s="114" t="s">
        <v>109</v>
      </c>
      <c r="F22" s="63">
        <v>0.3125</v>
      </c>
      <c r="G22" s="63">
        <v>0.8125</v>
      </c>
      <c r="H22" s="65">
        <f t="shared" si="1"/>
        <v>60</v>
      </c>
      <c r="I22" s="65">
        <v>152515</v>
      </c>
      <c r="J22" s="65">
        <v>152737</v>
      </c>
      <c r="K22" s="65">
        <f t="shared" si="2"/>
        <v>222</v>
      </c>
      <c r="L22" s="64">
        <v>115908</v>
      </c>
      <c r="M22" s="65">
        <v>0</v>
      </c>
      <c r="Q22" s="12">
        <f t="shared" si="3"/>
        <v>0</v>
      </c>
      <c r="R22" s="12">
        <f t="shared" si="4"/>
        <v>4.166666666666663E-2</v>
      </c>
      <c r="S22" s="13">
        <f t="shared" si="5"/>
        <v>0</v>
      </c>
      <c r="T22" s="14">
        <f t="shared" si="6"/>
        <v>60</v>
      </c>
    </row>
    <row r="23" spans="1:20" ht="21" customHeight="1" x14ac:dyDescent="0.2">
      <c r="A23" s="117"/>
      <c r="B23" s="117" t="str">
        <f t="shared" si="0"/>
        <v>Thứ Tư</v>
      </c>
      <c r="C23" s="118" t="s">
        <v>66</v>
      </c>
      <c r="D23" s="117" t="s">
        <v>38</v>
      </c>
      <c r="E23" s="116" t="s">
        <v>105</v>
      </c>
      <c r="F23" s="119">
        <v>0.20833333333333334</v>
      </c>
      <c r="G23" s="119">
        <v>0.875</v>
      </c>
      <c r="H23" s="120">
        <f t="shared" si="1"/>
        <v>270</v>
      </c>
      <c r="I23" s="120">
        <v>152737</v>
      </c>
      <c r="J23" s="120">
        <v>152894</v>
      </c>
      <c r="K23" s="120">
        <f t="shared" si="2"/>
        <v>157</v>
      </c>
      <c r="L23" s="120"/>
      <c r="M23" s="120">
        <v>0</v>
      </c>
      <c r="Q23" s="12">
        <f t="shared" si="3"/>
        <v>8.3333333333333343E-2</v>
      </c>
      <c r="R23" s="12">
        <f t="shared" si="4"/>
        <v>0.10416666666666663</v>
      </c>
      <c r="S23" s="13">
        <f t="shared" si="5"/>
        <v>0</v>
      </c>
      <c r="T23" s="14">
        <f t="shared" si="6"/>
        <v>270</v>
      </c>
    </row>
    <row r="24" spans="1:20" ht="21" customHeight="1" x14ac:dyDescent="0.2">
      <c r="A24" s="60"/>
      <c r="B24" s="60" t="str">
        <f t="shared" si="0"/>
        <v>Thứ Năm</v>
      </c>
      <c r="C24" s="61" t="s">
        <v>67</v>
      </c>
      <c r="D24" s="60" t="s">
        <v>38</v>
      </c>
      <c r="E24" s="114" t="s">
        <v>110</v>
      </c>
      <c r="F24" s="63">
        <v>0.3125</v>
      </c>
      <c r="G24" s="63">
        <v>0.8125</v>
      </c>
      <c r="H24" s="65">
        <f t="shared" si="1"/>
        <v>60</v>
      </c>
      <c r="I24" s="120">
        <v>152894</v>
      </c>
      <c r="J24" s="65">
        <v>153105</v>
      </c>
      <c r="K24" s="65">
        <f t="shared" si="2"/>
        <v>211</v>
      </c>
      <c r="L24" s="65">
        <v>22643</v>
      </c>
      <c r="M24" s="65">
        <v>0</v>
      </c>
      <c r="Q24" s="12">
        <f t="shared" si="3"/>
        <v>0</v>
      </c>
      <c r="R24" s="12">
        <f t="shared" si="4"/>
        <v>4.166666666666663E-2</v>
      </c>
      <c r="S24" s="13">
        <f t="shared" si="5"/>
        <v>0</v>
      </c>
      <c r="T24" s="14">
        <f t="shared" si="6"/>
        <v>60</v>
      </c>
    </row>
    <row r="25" spans="1:20" ht="21" customHeight="1" x14ac:dyDescent="0.2">
      <c r="A25" s="60"/>
      <c r="B25" s="60" t="str">
        <f t="shared" si="0"/>
        <v>Thứ Sáu</v>
      </c>
      <c r="C25" s="61" t="s">
        <v>89</v>
      </c>
      <c r="D25" s="60" t="s">
        <v>38</v>
      </c>
      <c r="E25" s="114" t="s">
        <v>111</v>
      </c>
      <c r="F25" s="63">
        <v>0.22916666666666666</v>
      </c>
      <c r="G25" s="63">
        <v>0.8125</v>
      </c>
      <c r="H25" s="65">
        <f t="shared" si="1"/>
        <v>150</v>
      </c>
      <c r="I25" s="65">
        <v>153105</v>
      </c>
      <c r="J25" s="65">
        <v>153190</v>
      </c>
      <c r="K25" s="65">
        <f t="shared" si="2"/>
        <v>85</v>
      </c>
      <c r="L25" s="65"/>
      <c r="M25" s="65">
        <v>0</v>
      </c>
      <c r="Q25" s="12">
        <f t="shared" si="3"/>
        <v>6.2500000000000028E-2</v>
      </c>
      <c r="R25" s="12">
        <f t="shared" si="4"/>
        <v>4.166666666666663E-2</v>
      </c>
      <c r="S25" s="13">
        <f t="shared" si="5"/>
        <v>0</v>
      </c>
      <c r="T25" s="14">
        <f t="shared" si="6"/>
        <v>150</v>
      </c>
    </row>
    <row r="26" spans="1:20" ht="21" customHeight="1" x14ac:dyDescent="0.2">
      <c r="A26" s="60"/>
      <c r="B26" s="60" t="str">
        <f t="shared" si="0"/>
        <v>Thứ Hai</v>
      </c>
      <c r="C26" s="61" t="s">
        <v>82</v>
      </c>
      <c r="D26" s="60" t="s">
        <v>38</v>
      </c>
      <c r="E26" s="114" t="s">
        <v>112</v>
      </c>
      <c r="F26" s="63">
        <v>0.3125</v>
      </c>
      <c r="G26" s="63">
        <v>0.75</v>
      </c>
      <c r="H26" s="65">
        <f t="shared" si="1"/>
        <v>0</v>
      </c>
      <c r="I26" s="65">
        <v>153190</v>
      </c>
      <c r="J26" s="65">
        <v>153326</v>
      </c>
      <c r="K26" s="65">
        <f t="shared" si="2"/>
        <v>136</v>
      </c>
      <c r="L26" s="65">
        <v>14727</v>
      </c>
      <c r="M26" s="65">
        <v>0</v>
      </c>
      <c r="Q26" s="12">
        <f t="shared" si="3"/>
        <v>0</v>
      </c>
      <c r="R26" s="12">
        <f t="shared" si="4"/>
        <v>0</v>
      </c>
      <c r="S26" s="13">
        <f t="shared" si="5"/>
        <v>0</v>
      </c>
      <c r="T26" s="14">
        <f t="shared" si="6"/>
        <v>0</v>
      </c>
    </row>
    <row r="27" spans="1:20" ht="21" customHeight="1" x14ac:dyDescent="0.2">
      <c r="A27" s="60"/>
      <c r="B27" s="60" t="str">
        <f t="shared" si="0"/>
        <v>Thứ Ba</v>
      </c>
      <c r="C27" s="61" t="s">
        <v>83</v>
      </c>
      <c r="D27" s="60" t="s">
        <v>38</v>
      </c>
      <c r="E27" s="114" t="s">
        <v>41</v>
      </c>
      <c r="F27" s="63">
        <v>0.27083333333333331</v>
      </c>
      <c r="G27" s="63">
        <v>0.77083333333333337</v>
      </c>
      <c r="H27" s="65">
        <f t="shared" si="1"/>
        <v>30</v>
      </c>
      <c r="I27" s="65">
        <v>153326</v>
      </c>
      <c r="J27" s="65">
        <v>153426</v>
      </c>
      <c r="K27" s="65">
        <f t="shared" si="2"/>
        <v>100</v>
      </c>
      <c r="L27" s="65">
        <v>44181</v>
      </c>
      <c r="M27" s="65">
        <v>0</v>
      </c>
      <c r="Q27" s="12">
        <f t="shared" si="3"/>
        <v>2.083333333333337E-2</v>
      </c>
      <c r="R27" s="12">
        <f t="shared" si="4"/>
        <v>0</v>
      </c>
      <c r="S27" s="13">
        <f t="shared" si="5"/>
        <v>0</v>
      </c>
      <c r="T27" s="14">
        <f t="shared" si="6"/>
        <v>30</v>
      </c>
    </row>
    <row r="28" spans="1:20" ht="21" customHeight="1" x14ac:dyDescent="0.2">
      <c r="A28" s="60"/>
      <c r="B28" s="60" t="str">
        <f t="shared" si="0"/>
        <v>Thứ Tư</v>
      </c>
      <c r="C28" s="61" t="s">
        <v>84</v>
      </c>
      <c r="D28" s="60" t="s">
        <v>38</v>
      </c>
      <c r="E28" s="114" t="s">
        <v>113</v>
      </c>
      <c r="F28" s="63">
        <v>0.22916666666666666</v>
      </c>
      <c r="G28" s="63">
        <v>0.875</v>
      </c>
      <c r="H28" s="65">
        <f t="shared" si="1"/>
        <v>240</v>
      </c>
      <c r="I28" s="65">
        <v>153426</v>
      </c>
      <c r="J28" s="65">
        <v>153617</v>
      </c>
      <c r="K28" s="65">
        <f t="shared" si="2"/>
        <v>191</v>
      </c>
      <c r="L28" s="65">
        <v>22643</v>
      </c>
      <c r="M28" s="65">
        <v>0</v>
      </c>
      <c r="Q28" s="12">
        <f t="shared" si="3"/>
        <v>6.2500000000000028E-2</v>
      </c>
      <c r="R28" s="12">
        <f t="shared" si="4"/>
        <v>0.10416666666666663</v>
      </c>
      <c r="S28" s="13">
        <f t="shared" si="5"/>
        <v>0</v>
      </c>
      <c r="T28" s="14">
        <f t="shared" si="6"/>
        <v>240</v>
      </c>
    </row>
    <row r="29" spans="1:20" ht="21" customHeight="1" x14ac:dyDescent="0.2">
      <c r="A29" s="60"/>
      <c r="B29" s="60" t="str">
        <f t="shared" si="0"/>
        <v>Thứ Năm</v>
      </c>
      <c r="C29" s="61" t="s">
        <v>85</v>
      </c>
      <c r="D29" s="60" t="s">
        <v>38</v>
      </c>
      <c r="E29" s="114" t="s">
        <v>114</v>
      </c>
      <c r="F29" s="63">
        <v>0.21875</v>
      </c>
      <c r="G29" s="63">
        <v>0.85416666666666663</v>
      </c>
      <c r="H29" s="65">
        <f t="shared" si="1"/>
        <v>225</v>
      </c>
      <c r="I29" s="65">
        <v>153617</v>
      </c>
      <c r="J29" s="65">
        <v>153882</v>
      </c>
      <c r="K29" s="65">
        <f t="shared" si="2"/>
        <v>265</v>
      </c>
      <c r="L29" s="65">
        <v>24545</v>
      </c>
      <c r="M29" s="65">
        <v>0</v>
      </c>
      <c r="Q29" s="12">
        <f t="shared" si="3"/>
        <v>7.2916666666666685E-2</v>
      </c>
      <c r="R29" s="12">
        <f t="shared" si="4"/>
        <v>8.3333333333333259E-2</v>
      </c>
      <c r="S29" s="13">
        <f t="shared" si="5"/>
        <v>0</v>
      </c>
      <c r="T29" s="14">
        <f t="shared" si="6"/>
        <v>225</v>
      </c>
    </row>
    <row r="30" spans="1:20" ht="21" customHeight="1" x14ac:dyDescent="0.2">
      <c r="A30" s="72"/>
      <c r="B30" s="72" t="str">
        <f t="shared" si="0"/>
        <v>Thứ Sáu</v>
      </c>
      <c r="C30" s="73" t="s">
        <v>86</v>
      </c>
      <c r="D30" s="60" t="s">
        <v>38</v>
      </c>
      <c r="E30" s="115" t="s">
        <v>115</v>
      </c>
      <c r="F30" s="63">
        <v>0.21875</v>
      </c>
      <c r="G30" s="63">
        <v>0.85416666666666663</v>
      </c>
      <c r="H30" s="65">
        <f t="shared" si="1"/>
        <v>225</v>
      </c>
      <c r="I30" s="65">
        <v>153882</v>
      </c>
      <c r="J30" s="76">
        <v>154109</v>
      </c>
      <c r="K30" s="65">
        <f t="shared" si="2"/>
        <v>227</v>
      </c>
      <c r="L30" s="76">
        <v>87375</v>
      </c>
      <c r="M30" s="76"/>
      <c r="Q30" s="12">
        <f t="shared" ref="Q30:Q32" si="7">IF(F30&lt;$Q$8,$Q$8-F30,0)</f>
        <v>7.2916666666666685E-2</v>
      </c>
      <c r="R30" s="12">
        <f t="shared" ref="R30:R32" si="8">IF(G30&gt;$R$8,G30-$R$8,0)</f>
        <v>8.3333333333333259E-2</v>
      </c>
      <c r="S30" s="13">
        <f t="shared" ref="S30:S32" si="9">(HOUR(Q30)*60+MINUTE(Q30))+(HOUR(R30)*60+MINUTE(R30))-H30</f>
        <v>0</v>
      </c>
      <c r="T30" s="14">
        <f t="shared" ref="T30:T32" si="10">(HOUR(Q30)*60+MINUTE(Q30))+(HOUR(R30)*60+MINUTE(R30))</f>
        <v>225</v>
      </c>
    </row>
    <row r="31" spans="1:20" ht="21" customHeight="1" x14ac:dyDescent="0.2">
      <c r="A31" s="72"/>
      <c r="B31" s="72" t="str">
        <f t="shared" si="0"/>
        <v>Thứ Hai</v>
      </c>
      <c r="C31" s="73" t="s">
        <v>87</v>
      </c>
      <c r="D31" s="60" t="s">
        <v>38</v>
      </c>
      <c r="E31" s="122" t="s">
        <v>117</v>
      </c>
      <c r="F31" s="63">
        <v>0.27083333333333331</v>
      </c>
      <c r="G31" s="63">
        <v>0.75</v>
      </c>
      <c r="H31" s="65">
        <f t="shared" si="1"/>
        <v>30</v>
      </c>
      <c r="I31" s="76">
        <v>154109</v>
      </c>
      <c r="J31" s="76">
        <v>154187</v>
      </c>
      <c r="K31" s="76">
        <f t="shared" si="2"/>
        <v>78</v>
      </c>
      <c r="L31" s="76">
        <v>29454</v>
      </c>
      <c r="M31" s="76"/>
      <c r="Q31" s="12">
        <f t="shared" si="7"/>
        <v>2.083333333333337E-2</v>
      </c>
      <c r="R31" s="12">
        <f t="shared" si="8"/>
        <v>0</v>
      </c>
      <c r="S31" s="13">
        <f t="shared" si="9"/>
        <v>0</v>
      </c>
      <c r="T31" s="14">
        <f t="shared" si="10"/>
        <v>30</v>
      </c>
    </row>
    <row r="32" spans="1:20" ht="21" customHeight="1" x14ac:dyDescent="0.2">
      <c r="A32" s="72"/>
      <c r="B32" s="72" t="str">
        <f t="shared" si="0"/>
        <v>Thứ Bảy</v>
      </c>
      <c r="C32" s="73" t="s">
        <v>116</v>
      </c>
      <c r="D32" s="60" t="s">
        <v>38</v>
      </c>
      <c r="E32" s="115" t="s">
        <v>118</v>
      </c>
      <c r="F32" s="63">
        <v>0.3125</v>
      </c>
      <c r="G32" s="63">
        <v>0.85416666666666663</v>
      </c>
      <c r="H32" s="65">
        <f t="shared" si="1"/>
        <v>120</v>
      </c>
      <c r="I32" s="76">
        <v>154187</v>
      </c>
      <c r="J32" s="76">
        <v>154353</v>
      </c>
      <c r="K32" s="76">
        <f t="shared" si="2"/>
        <v>166</v>
      </c>
      <c r="L32" s="76">
        <v>29454</v>
      </c>
      <c r="M32" s="76"/>
      <c r="Q32" s="12">
        <f t="shared" si="7"/>
        <v>0</v>
      </c>
      <c r="R32" s="12">
        <f t="shared" si="8"/>
        <v>8.3333333333333259E-2</v>
      </c>
      <c r="S32" s="13">
        <f t="shared" si="9"/>
        <v>0</v>
      </c>
      <c r="T32" s="14">
        <f t="shared" si="10"/>
        <v>120</v>
      </c>
    </row>
    <row r="33" spans="1:22" ht="21" customHeight="1" x14ac:dyDescent="0.2">
      <c r="A33" s="72"/>
      <c r="B33" s="72"/>
      <c r="C33" s="73"/>
      <c r="D33" s="72"/>
      <c r="E33" s="115"/>
      <c r="F33" s="63"/>
      <c r="G33" s="63"/>
      <c r="H33" s="65"/>
      <c r="I33" s="76"/>
      <c r="J33" s="76"/>
      <c r="K33" s="76"/>
      <c r="L33" s="76"/>
      <c r="M33" s="76"/>
      <c r="Q33" s="12"/>
      <c r="R33" s="12"/>
      <c r="S33" s="13"/>
      <c r="T33" s="14"/>
    </row>
    <row r="34" spans="1:22" ht="21" customHeight="1" x14ac:dyDescent="0.2">
      <c r="A34" s="72"/>
      <c r="B34" s="72"/>
      <c r="C34" s="73"/>
      <c r="D34" s="72"/>
      <c r="E34" s="115"/>
      <c r="F34" s="63"/>
      <c r="G34" s="63"/>
      <c r="H34" s="65"/>
      <c r="I34" s="76"/>
      <c r="J34" s="76"/>
      <c r="K34" s="76"/>
      <c r="L34" s="76"/>
      <c r="M34" s="76"/>
      <c r="Q34" s="12"/>
      <c r="R34" s="12"/>
      <c r="S34" s="13"/>
      <c r="T34" s="14"/>
    </row>
    <row r="35" spans="1:22" ht="29.25" customHeight="1" x14ac:dyDescent="0.2">
      <c r="A35" s="77"/>
      <c r="B35" s="77"/>
      <c r="C35" s="78"/>
      <c r="D35" s="77"/>
      <c r="E35" s="79" t="s">
        <v>24</v>
      </c>
      <c r="F35" s="80"/>
      <c r="G35" s="80"/>
      <c r="H35" s="15">
        <f>SUM(H9:H34)</f>
        <v>3385</v>
      </c>
      <c r="I35" s="15"/>
      <c r="J35" s="15"/>
      <c r="K35" s="15">
        <f>SUM(K9:K34)</f>
        <v>3961</v>
      </c>
      <c r="L35" s="15">
        <f>SUM(L9:L34)</f>
        <v>1265874</v>
      </c>
      <c r="M35" s="15">
        <f>SUM(M9:M34)</f>
        <v>0</v>
      </c>
      <c r="S35" s="5" t="e">
        <f>SumOverTime_Ex/60</f>
        <v>#NAME?</v>
      </c>
    </row>
    <row r="36" spans="1:22" s="67" customFormat="1" ht="25.5" x14ac:dyDescent="0.2">
      <c r="A36" s="81" t="s">
        <v>9</v>
      </c>
      <c r="B36" s="82"/>
      <c r="C36" s="146" t="s">
        <v>25</v>
      </c>
      <c r="D36" s="147"/>
      <c r="E36" s="147"/>
      <c r="F36" s="147"/>
      <c r="G36" s="147"/>
      <c r="H36" s="147"/>
      <c r="I36" s="147"/>
      <c r="J36" s="148"/>
      <c r="K36" s="83" t="s">
        <v>26</v>
      </c>
      <c r="L36" s="84" t="s">
        <v>27</v>
      </c>
      <c r="M36" s="85" t="s">
        <v>28</v>
      </c>
    </row>
    <row r="37" spans="1:22" ht="23.25" customHeight="1" x14ac:dyDescent="0.25">
      <c r="A37" s="16">
        <v>1</v>
      </c>
      <c r="B37" s="16"/>
      <c r="C37" s="149" t="s">
        <v>29</v>
      </c>
      <c r="D37" s="150"/>
      <c r="E37" s="150"/>
      <c r="F37" s="150"/>
      <c r="G37" s="150"/>
      <c r="H37" s="150"/>
      <c r="I37" s="150"/>
      <c r="J37" s="150"/>
      <c r="K37" s="17">
        <v>1</v>
      </c>
      <c r="L37" s="18">
        <v>27000000</v>
      </c>
      <c r="M37" s="19">
        <f>L37*K37</f>
        <v>27000000</v>
      </c>
    </row>
    <row r="38" spans="1:22" ht="23.25" customHeight="1" x14ac:dyDescent="0.25">
      <c r="A38" s="16">
        <v>2</v>
      </c>
      <c r="B38" s="16"/>
      <c r="C38" s="151" t="s">
        <v>30</v>
      </c>
      <c r="D38" s="127"/>
      <c r="E38" s="127"/>
      <c r="F38" s="127"/>
      <c r="G38" s="127"/>
      <c r="H38" s="127"/>
      <c r="I38" s="127"/>
      <c r="J38" s="127"/>
      <c r="K38" s="20">
        <v>1</v>
      </c>
      <c r="L38" s="21">
        <v>1200000</v>
      </c>
      <c r="M38" s="19">
        <f t="shared" ref="M38:M41" si="11">L38*K38</f>
        <v>1200000</v>
      </c>
    </row>
    <row r="39" spans="1:22" ht="23.25" customHeight="1" x14ac:dyDescent="0.2">
      <c r="A39" s="16"/>
      <c r="B39" s="16"/>
      <c r="C39" s="143" t="s">
        <v>39</v>
      </c>
      <c r="D39" s="144"/>
      <c r="E39" s="144"/>
      <c r="F39" s="144"/>
      <c r="G39" s="144"/>
      <c r="H39" s="144"/>
      <c r="I39" s="144"/>
      <c r="J39" s="145"/>
      <c r="K39" s="20">
        <v>1</v>
      </c>
      <c r="L39" s="21">
        <v>300000</v>
      </c>
      <c r="M39" s="19">
        <f t="shared" si="11"/>
        <v>300000</v>
      </c>
    </row>
    <row r="40" spans="1:22" ht="23.25" customHeight="1" x14ac:dyDescent="0.25">
      <c r="A40" s="16">
        <v>3</v>
      </c>
      <c r="B40" s="16"/>
      <c r="C40" s="137" t="s">
        <v>31</v>
      </c>
      <c r="D40" s="127"/>
      <c r="E40" s="127"/>
      <c r="F40" s="127"/>
      <c r="G40" s="127"/>
      <c r="H40" s="127"/>
      <c r="I40" s="127"/>
      <c r="J40" s="127"/>
      <c r="K40" s="22">
        <f>K35-2600-100*1</f>
        <v>1261</v>
      </c>
      <c r="L40" s="18">
        <v>7000</v>
      </c>
      <c r="M40" s="19">
        <f t="shared" si="11"/>
        <v>8827000</v>
      </c>
    </row>
    <row r="41" spans="1:22" ht="23.25" customHeight="1" x14ac:dyDescent="0.25">
      <c r="A41" s="16">
        <v>4</v>
      </c>
      <c r="B41" s="16"/>
      <c r="C41" s="137" t="s">
        <v>32</v>
      </c>
      <c r="D41" s="127"/>
      <c r="E41" s="127"/>
      <c r="F41" s="127"/>
      <c r="G41" s="127"/>
      <c r="H41" s="127"/>
      <c r="I41" s="127"/>
      <c r="J41" s="127"/>
      <c r="K41" s="22">
        <f>H35/60</f>
        <v>56.416666666666664</v>
      </c>
      <c r="L41" s="18">
        <v>70000</v>
      </c>
      <c r="M41" s="19">
        <f t="shared" si="11"/>
        <v>3949166.6666666665</v>
      </c>
    </row>
    <row r="42" spans="1:22" ht="23.25" customHeight="1" x14ac:dyDescent="0.25">
      <c r="A42" s="16">
        <v>5</v>
      </c>
      <c r="B42" s="16"/>
      <c r="C42" s="137" t="s">
        <v>33</v>
      </c>
      <c r="D42" s="127"/>
      <c r="E42" s="127"/>
      <c r="F42" s="127"/>
      <c r="G42" s="127"/>
      <c r="H42" s="127"/>
      <c r="I42" s="127"/>
      <c r="J42" s="127"/>
      <c r="K42" s="24"/>
      <c r="L42" s="23"/>
      <c r="M42" s="23">
        <f>L35/1.08</f>
        <v>1172105.5555555555</v>
      </c>
    </row>
    <row r="43" spans="1:22" ht="23.25" customHeight="1" x14ac:dyDescent="0.25">
      <c r="A43" s="126" t="s">
        <v>34</v>
      </c>
      <c r="B43" s="126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23">
        <f>SUM(M37:M42)</f>
        <v>42448272.222222216</v>
      </c>
    </row>
    <row r="44" spans="1:22" ht="23.25" customHeight="1" x14ac:dyDescent="0.2">
      <c r="A44" s="126" t="s">
        <v>35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23">
        <f>M43*0.08</f>
        <v>3395861.7777777775</v>
      </c>
    </row>
    <row r="45" spans="1:22" ht="23.25" customHeight="1" x14ac:dyDescent="0.25">
      <c r="A45" s="128" t="s">
        <v>36</v>
      </c>
      <c r="B45" s="129"/>
      <c r="C45" s="130"/>
      <c r="D45" s="130"/>
      <c r="E45" s="130"/>
      <c r="F45" s="130"/>
      <c r="G45" s="130"/>
      <c r="H45" s="130"/>
      <c r="I45" s="130"/>
      <c r="J45" s="130"/>
      <c r="K45" s="130"/>
      <c r="L45" s="131"/>
      <c r="M45" s="25">
        <f>SUM(M43:M44)</f>
        <v>45844133.999999993</v>
      </c>
      <c r="V45" s="5">
        <f>60*17</f>
        <v>1020</v>
      </c>
    </row>
    <row r="46" spans="1:22" ht="23.25" customHeight="1" x14ac:dyDescent="0.2">
      <c r="A46" s="26" t="s">
        <v>37</v>
      </c>
      <c r="B46" s="26"/>
      <c r="C46" s="132"/>
      <c r="D46" s="133"/>
      <c r="E46" s="133"/>
      <c r="F46" s="133"/>
      <c r="G46" s="133"/>
      <c r="H46" s="133"/>
      <c r="I46" s="133"/>
      <c r="J46" s="133"/>
      <c r="K46" s="133"/>
      <c r="L46" s="133"/>
      <c r="M46" s="134"/>
    </row>
    <row r="47" spans="1:22" ht="15.75" x14ac:dyDescent="0.2">
      <c r="A47" s="27"/>
      <c r="B47" s="27"/>
      <c r="C47" s="28"/>
      <c r="D47" s="27"/>
      <c r="E47" s="27"/>
      <c r="F47" s="27"/>
      <c r="G47" s="27"/>
      <c r="H47" s="4"/>
      <c r="I47" s="4"/>
      <c r="J47" s="29"/>
      <c r="K47" s="4"/>
      <c r="L47" s="4"/>
      <c r="M47" s="4"/>
    </row>
    <row r="48" spans="1:22" ht="45.75" customHeight="1" x14ac:dyDescent="0.2">
      <c r="A48" s="136" t="s">
        <v>47</v>
      </c>
      <c r="B48" s="136"/>
      <c r="C48" s="136"/>
      <c r="D48" s="136"/>
      <c r="E48" s="136"/>
      <c r="F48" s="30"/>
      <c r="G48" s="30"/>
      <c r="H48" s="29"/>
      <c r="I48" s="135" t="s">
        <v>0</v>
      </c>
      <c r="J48" s="135"/>
      <c r="K48" s="135"/>
      <c r="L48" s="135"/>
      <c r="M48" s="135"/>
    </row>
    <row r="49" spans="1:13" ht="15.75" x14ac:dyDescent="0.2">
      <c r="A49" s="27"/>
      <c r="B49" s="27"/>
      <c r="C49" s="28"/>
      <c r="D49" s="27"/>
      <c r="E49" s="27"/>
      <c r="F49" s="27"/>
      <c r="G49" s="27"/>
      <c r="H49" s="4"/>
      <c r="I49" s="4"/>
      <c r="J49" s="4"/>
      <c r="K49" s="31"/>
      <c r="L49" s="31"/>
      <c r="M49" s="31"/>
    </row>
    <row r="50" spans="1:13" x14ac:dyDescent="0.2">
      <c r="C50" s="32"/>
    </row>
    <row r="51" spans="1:13" x14ac:dyDescent="0.2">
      <c r="C51" s="32"/>
    </row>
    <row r="52" spans="1:13" x14ac:dyDescent="0.2">
      <c r="C52" s="32"/>
    </row>
    <row r="53" spans="1:13" x14ac:dyDescent="0.2">
      <c r="C53" s="32"/>
    </row>
    <row r="54" spans="1:13" x14ac:dyDescent="0.2">
      <c r="C54" s="32"/>
    </row>
    <row r="55" spans="1:13" x14ac:dyDescent="0.2">
      <c r="C55" s="32"/>
      <c r="I55" s="125"/>
      <c r="J55" s="125"/>
      <c r="K55" s="125"/>
      <c r="L55" s="125"/>
      <c r="M55" s="125"/>
    </row>
    <row r="56" spans="1:13" x14ac:dyDescent="0.2">
      <c r="C56" s="32"/>
    </row>
    <row r="57" spans="1:13" x14ac:dyDescent="0.2">
      <c r="C57" s="32"/>
    </row>
    <row r="58" spans="1:13" x14ac:dyDescent="0.2">
      <c r="C58" s="32"/>
    </row>
    <row r="59" spans="1:13" x14ac:dyDescent="0.2">
      <c r="C59" s="32"/>
    </row>
    <row r="60" spans="1:13" x14ac:dyDescent="0.2">
      <c r="C60" s="32"/>
    </row>
    <row r="61" spans="1:13" x14ac:dyDescent="0.2">
      <c r="C61" s="32"/>
    </row>
    <row r="62" spans="1:13" x14ac:dyDescent="0.2">
      <c r="C62" s="32"/>
    </row>
    <row r="63" spans="1:13" x14ac:dyDescent="0.2">
      <c r="C63" s="32"/>
    </row>
    <row r="64" spans="1:13" x14ac:dyDescent="0.2">
      <c r="C64" s="32"/>
    </row>
    <row r="65" spans="3:3" x14ac:dyDescent="0.2">
      <c r="C65" s="32"/>
    </row>
    <row r="66" spans="3:3" x14ac:dyDescent="0.2">
      <c r="C66" s="32"/>
    </row>
    <row r="67" spans="3:3" x14ac:dyDescent="0.2">
      <c r="C67" s="32"/>
    </row>
    <row r="68" spans="3:3" x14ac:dyDescent="0.2">
      <c r="C68" s="32"/>
    </row>
    <row r="69" spans="3:3" x14ac:dyDescent="0.2">
      <c r="C69" s="32"/>
    </row>
    <row r="70" spans="3:3" x14ac:dyDescent="0.2">
      <c r="C70" s="32"/>
    </row>
    <row r="71" spans="3:3" x14ac:dyDescent="0.2">
      <c r="C71" s="32"/>
    </row>
    <row r="72" spans="3:3" x14ac:dyDescent="0.2">
      <c r="C72" s="32"/>
    </row>
    <row r="73" spans="3:3" x14ac:dyDescent="0.2">
      <c r="C73" s="32"/>
    </row>
    <row r="74" spans="3:3" x14ac:dyDescent="0.2">
      <c r="C74" s="32"/>
    </row>
    <row r="75" spans="3:3" x14ac:dyDescent="0.2">
      <c r="C75" s="32"/>
    </row>
    <row r="76" spans="3:3" x14ac:dyDescent="0.2">
      <c r="C76" s="32"/>
    </row>
    <row r="77" spans="3:3" x14ac:dyDescent="0.2">
      <c r="C77" s="32"/>
    </row>
    <row r="78" spans="3:3" x14ac:dyDescent="0.2">
      <c r="C78" s="32"/>
    </row>
    <row r="79" spans="3:3" x14ac:dyDescent="0.2">
      <c r="C79" s="32"/>
    </row>
    <row r="80" spans="3:3" x14ac:dyDescent="0.2">
      <c r="C80" s="32"/>
    </row>
    <row r="81" spans="3:3" x14ac:dyDescent="0.2">
      <c r="C81" s="32"/>
    </row>
    <row r="82" spans="3:3" x14ac:dyDescent="0.2">
      <c r="C82" s="32"/>
    </row>
    <row r="83" spans="3:3" x14ac:dyDescent="0.2">
      <c r="C83" s="32"/>
    </row>
    <row r="84" spans="3:3" x14ac:dyDescent="0.2">
      <c r="C84" s="32"/>
    </row>
  </sheetData>
  <autoFilter ref="A8:M46" xr:uid="{00000000-0009-0000-0000-00000A000000}"/>
  <mergeCells count="20">
    <mergeCell ref="C42:J42"/>
    <mergeCell ref="A1:E1"/>
    <mergeCell ref="A2:E2"/>
    <mergeCell ref="A3:E3"/>
    <mergeCell ref="A4:E4"/>
    <mergeCell ref="A5:M5"/>
    <mergeCell ref="A6:M6"/>
    <mergeCell ref="C39:J39"/>
    <mergeCell ref="C36:J36"/>
    <mergeCell ref="C37:J37"/>
    <mergeCell ref="C38:J38"/>
    <mergeCell ref="C40:J40"/>
    <mergeCell ref="C41:J41"/>
    <mergeCell ref="I55:M55"/>
    <mergeCell ref="A43:L43"/>
    <mergeCell ref="A44:L44"/>
    <mergeCell ref="A45:L45"/>
    <mergeCell ref="C46:M46"/>
    <mergeCell ref="I48:M48"/>
    <mergeCell ref="A48:E48"/>
  </mergeCells>
  <pageMargins left="0.7" right="0.7" top="0.75" bottom="0.75" header="0.3" footer="0.3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HOP</vt:lpstr>
      <vt:lpstr>51L-268.40</vt:lpstr>
      <vt:lpstr>51K-365.77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Long Nguyễn</dc:creator>
  <cp:lastModifiedBy>Long Nguyễn</cp:lastModifiedBy>
  <dcterms:created xsi:type="dcterms:W3CDTF">2025-09-25T20:03:10Z</dcterms:created>
  <dcterms:modified xsi:type="dcterms:W3CDTF">2026-01-04T16:47:51Z</dcterms:modified>
</cp:coreProperties>
</file>